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jetfi\OneDrive\Desktop\Data Analysis Projects\"/>
    </mc:Choice>
  </mc:AlternateContent>
  <xr:revisionPtr revIDLastSave="0" documentId="13_ncr:1_{C91E4E94-B9F1-4B18-BA33-40366FA62792}" xr6:coauthVersionLast="47" xr6:coauthVersionMax="47" xr10:uidLastSave="{00000000-0000-0000-0000-000000000000}"/>
  <bookViews>
    <workbookView xWindow="-108" yWindow="-108" windowWidth="23256" windowHeight="12456" xr2:uid="{4E40351C-09A2-467C-A0E6-232D674FF9A0}"/>
  </bookViews>
  <sheets>
    <sheet name="Dashboard" sheetId="2" r:id="rId1"/>
    <sheet name="Pivot_Tables" sheetId="1" r:id="rId2"/>
  </sheets>
  <definedNames>
    <definedName name="Slicer_Day_of_Week">#N/A</definedName>
    <definedName name="Slicer_Payment_Method">#N/A</definedName>
    <definedName name="Slicer_Product">#N/A</definedName>
    <definedName name="Timeline_Date">#N/A</definedName>
  </definedNames>
  <calcPr calcId="191029"/>
  <pivotCaches>
    <pivotCache cacheId="0" r:id="rId3"/>
    <pivotCache cacheId="1" r:id="rId4"/>
    <pivotCache cacheId="2" r:id="rId5"/>
    <pivotCache cacheId="3" r:id="rId6"/>
  </pivotCaches>
  <extLst>
    <ext xmlns:x14="http://schemas.microsoft.com/office/spreadsheetml/2009/9/main" uri="{876F7934-8845-4945-9796-88D515C7AA90}">
      <x14:pivotCaches>
        <pivotCache cacheId="4"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ean_and_Brew_Data_Cleaned_6ba09754-c077-429e-9e7a-ebc65848bdad" name="Bean_and_Brew_Data_Cleaned" connection="Query - Bean_and_Brew_Data_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 i="1" l="1"/>
  <c r="O4" i="1"/>
  <c r="P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79DC7D-AB39-4F52-A88E-86FFF3F4B336}" name="Query - Bean_and_Brew_Data_Cleaned" description="Connection to the 'Bean_and_Brew_Data_Cleaned' query in the workbook." type="100" refreshedVersion="8" minRefreshableVersion="5">
    <extLst>
      <ext xmlns:x15="http://schemas.microsoft.com/office/spreadsheetml/2010/11/main" uri="{DE250136-89BD-433C-8126-D09CA5730AF9}">
        <x15:connection id="3982ee8d-8d4a-4efb-9194-2a1ea433a3b5"/>
      </ext>
    </extLst>
  </connection>
  <connection id="2" xr16:uid="{17567227-87D0-4D38-8103-A48709EF7ED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7FB58D20-28EB-431C-A388-6018E03E19A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88736312-9BE7-4C40-A79B-D9F78492EF37}"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3000946D-8E46-449C-8464-BBAD6B4A735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58DF9FE5-5511-4AAF-9D7B-541109DE4F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<sst xmlns="http://schemas.openxmlformats.org/spreadsheetml/2006/main" count="19" uniqueCount="14">
  <si>
    <t>Row Labels</t>
  </si>
  <si>
    <t>Sum of Total_Amount_AED</t>
  </si>
  <si>
    <t>Count of Transaction_ID</t>
  </si>
  <si>
    <t>Cappuccino</t>
  </si>
  <si>
    <t>Espresso</t>
  </si>
  <si>
    <t>Latte</t>
  </si>
  <si>
    <t>Pastry</t>
  </si>
  <si>
    <t>Sandwich</t>
  </si>
  <si>
    <t>Total Sales</t>
  </si>
  <si>
    <t>Total Revenue</t>
  </si>
  <si>
    <t>Card</t>
  </si>
  <si>
    <t>Cash</t>
  </si>
  <si>
    <t>Digital Wallet</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</si>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</sst>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AED]\ #,##0.00"/>
  </numFmts>
  <fonts count="1" x14ac:knownFonts="1">
    <font>
      <sz val="11"/>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49998474074526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0" xfId="0" pivotButton="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0" fontId="0" fillId="0" borderId="0" xfId="0" applyAlignment="1">
      <alignment horizontal="right" vertical="center"/>
    </xf>
    <xf numFmtId="1" fontId="0" fillId="0" borderId="0" xfId="0" applyNumberFormat="1" applyAlignment="1">
      <alignment horizontal="right" vertical="center"/>
    </xf>
    <xf numFmtId="164" fontId="0" fillId="0" borderId="0" xfId="0" applyNumberFormat="1" applyAlignment="1">
      <alignment horizontal="right" vertical="center"/>
    </xf>
    <xf numFmtId="0" fontId="0" fillId="0" borderId="0" xfId="0" applyAlignment="1">
      <alignment vertical="center"/>
    </xf>
    <xf numFmtId="0" fontId="0" fillId="2" borderId="0" xfId="0" applyFill="1"/>
    <xf numFmtId="0" fontId="0" fillId="3" borderId="0" xfId="0" applyFill="1"/>
    <xf numFmtId="0" fontId="0" fillId="0" borderId="0" xfId="0" applyAlignment="1">
      <alignment horizontal="center" vertical="center"/>
    </xf>
  </cellXfs>
  <cellStyles count="1">
    <cellStyle name="Normal" xfId="0" builtinId="0"/>
  </cellStyles>
  <dxfs count="26">
    <dxf>
      <numFmt numFmtId="164" formatCode="[$AED]\ #,##0.00"/>
    </dxf>
    <dxf>
      <alignment horizontal="right"/>
    </dxf>
    <dxf>
      <alignment horizontal="right"/>
    </dxf>
    <dxf>
      <alignment vertical="center"/>
    </dxf>
    <dxf>
      <alignment vertical="center"/>
    </dxf>
    <dxf>
      <alignment vertical="center"/>
    </dxf>
    <dxf>
      <alignment vertical="center"/>
    </dxf>
    <dxf>
      <alignment vertical="center"/>
    </dxf>
    <dxf>
      <alignment horizontal="left"/>
    </dxf>
    <dxf>
      <alignment horizontal="left"/>
    </dxf>
    <dxf>
      <alignment horizontal="left"/>
    </dxf>
    <dxf>
      <numFmt numFmtId="1" formatCode="0"/>
    </dxf>
    <dxf>
      <numFmt numFmtId="164" formatCode="[$AED]\ #,##0.00"/>
    </dxf>
    <dxf>
      <alignment horizontal="righ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numFmt numFmtId="164" formatCode="[$AED]\ #,##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11/relationships/timelineCache" Target="timelineCaches/timeline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6.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[Bean_and_Brew_Dashboard.xlsx]Pivot_Tables!PivotTable1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Daily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19050"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Pivot_Tables!$D$4</c:f>
              <c:strCache>
                <c:ptCount val="1"/>
                <c:pt idx="0">
                  <c:v>Total Revenue</c:v>
                </c:pt>
              </c:strCache>
            </c:strRef>
          </c:tx>
          <c:spPr>
            <a:solidFill>
              <a:schemeClr val="accent4">
                <a:tint val="77000"/>
              </a:schemeClr>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Pivot_Tables!$B$5:$B$94</c:f>
              <c:strCache>
                <c:ptCount val="90"/>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pt idx="31">
                  <c:v>01-02-2025</c:v>
                </c:pt>
                <c:pt idx="32">
                  <c:v>02-02-2025</c:v>
                </c:pt>
                <c:pt idx="33">
                  <c:v>03-02-2025</c:v>
                </c:pt>
                <c:pt idx="34">
                  <c:v>04-02-2025</c:v>
                </c:pt>
                <c:pt idx="35">
                  <c:v>05-02-2025</c:v>
                </c:pt>
                <c:pt idx="36">
                  <c:v>06-02-2025</c:v>
                </c:pt>
                <c:pt idx="37">
                  <c:v>07-02-2025</c:v>
                </c:pt>
                <c:pt idx="38">
                  <c:v>08-02-2025</c:v>
                </c:pt>
                <c:pt idx="39">
                  <c:v>09-02-2025</c:v>
                </c:pt>
                <c:pt idx="40">
                  <c:v>10-02-2025</c:v>
                </c:pt>
                <c:pt idx="41">
                  <c:v>11-02-2025</c:v>
                </c:pt>
                <c:pt idx="42">
                  <c:v>12-02-2025</c:v>
                </c:pt>
                <c:pt idx="43">
                  <c:v>13-02-2025</c:v>
                </c:pt>
                <c:pt idx="44">
                  <c:v>14-02-2025</c:v>
                </c:pt>
                <c:pt idx="45">
                  <c:v>15-02-2025</c:v>
                </c:pt>
                <c:pt idx="46">
                  <c:v>16-02-2025</c:v>
                </c:pt>
                <c:pt idx="47">
                  <c:v>17-02-2025</c:v>
                </c:pt>
                <c:pt idx="48">
                  <c:v>18-02-2025</c:v>
                </c:pt>
                <c:pt idx="49">
                  <c:v>19-02-2025</c:v>
                </c:pt>
                <c:pt idx="50">
                  <c:v>20-02-2025</c:v>
                </c:pt>
                <c:pt idx="51">
                  <c:v>21-02-2025</c:v>
                </c:pt>
                <c:pt idx="52">
                  <c:v>22-02-2025</c:v>
                </c:pt>
                <c:pt idx="53">
                  <c:v>23-02-2025</c:v>
                </c:pt>
                <c:pt idx="54">
                  <c:v>24-02-2025</c:v>
                </c:pt>
                <c:pt idx="55">
                  <c:v>25-02-2025</c:v>
                </c:pt>
                <c:pt idx="56">
                  <c:v>26-02-2025</c:v>
                </c:pt>
                <c:pt idx="57">
                  <c:v>27-02-2025</c:v>
                </c:pt>
                <c:pt idx="58">
                  <c:v>28-02-2025</c:v>
                </c:pt>
                <c:pt idx="59">
                  <c:v>01-03-2025</c:v>
                </c:pt>
                <c:pt idx="60">
                  <c:v>02-03-2025</c:v>
                </c:pt>
                <c:pt idx="61">
                  <c:v>03-03-2025</c:v>
                </c:pt>
                <c:pt idx="62">
                  <c:v>04-03-2025</c:v>
                </c:pt>
                <c:pt idx="63">
                  <c:v>05-03-2025</c:v>
                </c:pt>
                <c:pt idx="64">
                  <c:v>06-03-2025</c:v>
                </c:pt>
                <c:pt idx="65">
                  <c:v>07-03-2025</c:v>
                </c:pt>
                <c:pt idx="66">
                  <c:v>08-03-2025</c:v>
                </c:pt>
                <c:pt idx="67">
                  <c:v>09-03-2025</c:v>
                </c:pt>
                <c:pt idx="68">
                  <c:v>10-03-2025</c:v>
                </c:pt>
                <c:pt idx="69">
                  <c:v>11-03-2025</c:v>
                </c:pt>
                <c:pt idx="70">
                  <c:v>12-03-2025</c:v>
                </c:pt>
                <c:pt idx="71">
                  <c:v>13-03-2025</c:v>
                </c:pt>
                <c:pt idx="72">
                  <c:v>14-03-2025</c:v>
                </c:pt>
                <c:pt idx="73">
                  <c:v>15-03-2025</c:v>
                </c:pt>
                <c:pt idx="74">
                  <c:v>16-03-2025</c:v>
                </c:pt>
                <c:pt idx="75">
                  <c:v>17-03-2025</c:v>
                </c:pt>
                <c:pt idx="76">
                  <c:v>18-03-2025</c:v>
                </c:pt>
                <c:pt idx="77">
                  <c:v>19-03-2025</c:v>
                </c:pt>
                <c:pt idx="78">
                  <c:v>20-03-2025</c:v>
                </c:pt>
                <c:pt idx="79">
                  <c:v>21-03-2025</c:v>
                </c:pt>
                <c:pt idx="80">
                  <c:v>22-03-2025</c:v>
                </c:pt>
                <c:pt idx="81">
                  <c:v>23-03-2025</c:v>
                </c:pt>
                <c:pt idx="82">
                  <c:v>24-03-2025</c:v>
                </c:pt>
                <c:pt idx="83">
                  <c:v>25-03-2025</c:v>
                </c:pt>
                <c:pt idx="84">
                  <c:v>26-03-2025</c:v>
                </c:pt>
                <c:pt idx="85">
                  <c:v>27-03-2025</c:v>
                </c:pt>
                <c:pt idx="86">
                  <c:v>28-03-2025</c:v>
                </c:pt>
                <c:pt idx="87">
                  <c:v>29-03-2025</c:v>
                </c:pt>
                <c:pt idx="88">
                  <c:v>30-03-2025</c:v>
                </c:pt>
                <c:pt idx="89">
                  <c:v>31-03-2025</c:v>
                </c:pt>
              </c:strCache>
            </c:strRef>
          </c:cat>
          <c:val>
            <c:numRef>
              <c:f>Pivot_Tables!$D$5:$D$94</c:f>
              <c:numCache>
                <c:formatCode>[$AED]\ #,##0.00</c:formatCode>
                <c:ptCount val="90"/>
                <c:pt idx="0">
                  <c:v>65</c:v>
                </c:pt>
                <c:pt idx="1">
                  <c:v>100</c:v>
                </c:pt>
                <c:pt idx="2">
                  <c:v>155</c:v>
                </c:pt>
                <c:pt idx="3">
                  <c:v>170</c:v>
                </c:pt>
                <c:pt idx="4">
                  <c:v>175</c:v>
                </c:pt>
                <c:pt idx="5">
                  <c:v>190</c:v>
                </c:pt>
                <c:pt idx="6">
                  <c:v>115</c:v>
                </c:pt>
                <c:pt idx="7">
                  <c:v>110</c:v>
                </c:pt>
                <c:pt idx="8">
                  <c:v>90</c:v>
                </c:pt>
                <c:pt idx="9">
                  <c:v>110</c:v>
                </c:pt>
                <c:pt idx="10">
                  <c:v>195</c:v>
                </c:pt>
                <c:pt idx="11">
                  <c:v>155</c:v>
                </c:pt>
                <c:pt idx="12">
                  <c:v>120</c:v>
                </c:pt>
                <c:pt idx="13">
                  <c:v>70</c:v>
                </c:pt>
                <c:pt idx="14">
                  <c:v>140</c:v>
                </c:pt>
                <c:pt idx="15">
                  <c:v>140</c:v>
                </c:pt>
                <c:pt idx="16">
                  <c:v>105</c:v>
                </c:pt>
                <c:pt idx="17">
                  <c:v>140</c:v>
                </c:pt>
                <c:pt idx="18">
                  <c:v>210</c:v>
                </c:pt>
                <c:pt idx="19">
                  <c:v>125</c:v>
                </c:pt>
                <c:pt idx="20">
                  <c:v>65</c:v>
                </c:pt>
                <c:pt idx="21">
                  <c:v>110</c:v>
                </c:pt>
                <c:pt idx="22">
                  <c:v>125</c:v>
                </c:pt>
                <c:pt idx="23">
                  <c:v>60</c:v>
                </c:pt>
                <c:pt idx="24">
                  <c:v>145</c:v>
                </c:pt>
                <c:pt idx="25">
                  <c:v>155</c:v>
                </c:pt>
                <c:pt idx="26">
                  <c:v>70</c:v>
                </c:pt>
                <c:pt idx="27">
                  <c:v>95</c:v>
                </c:pt>
                <c:pt idx="28">
                  <c:v>110</c:v>
                </c:pt>
                <c:pt idx="29">
                  <c:v>80</c:v>
                </c:pt>
                <c:pt idx="30">
                  <c:v>120</c:v>
                </c:pt>
                <c:pt idx="31">
                  <c:v>155</c:v>
                </c:pt>
                <c:pt idx="32">
                  <c:v>130</c:v>
                </c:pt>
                <c:pt idx="33">
                  <c:v>145</c:v>
                </c:pt>
                <c:pt idx="34">
                  <c:v>70</c:v>
                </c:pt>
                <c:pt idx="35">
                  <c:v>55</c:v>
                </c:pt>
                <c:pt idx="36">
                  <c:v>90</c:v>
                </c:pt>
                <c:pt idx="37">
                  <c:v>65</c:v>
                </c:pt>
                <c:pt idx="38">
                  <c:v>150</c:v>
                </c:pt>
                <c:pt idx="39">
                  <c:v>100</c:v>
                </c:pt>
                <c:pt idx="40">
                  <c:v>60</c:v>
                </c:pt>
                <c:pt idx="41">
                  <c:v>195</c:v>
                </c:pt>
                <c:pt idx="42">
                  <c:v>95</c:v>
                </c:pt>
                <c:pt idx="43">
                  <c:v>180</c:v>
                </c:pt>
                <c:pt idx="44">
                  <c:v>75</c:v>
                </c:pt>
                <c:pt idx="45">
                  <c:v>160</c:v>
                </c:pt>
                <c:pt idx="46">
                  <c:v>195</c:v>
                </c:pt>
                <c:pt idx="47">
                  <c:v>130</c:v>
                </c:pt>
                <c:pt idx="48">
                  <c:v>80</c:v>
                </c:pt>
                <c:pt idx="49">
                  <c:v>145</c:v>
                </c:pt>
                <c:pt idx="50">
                  <c:v>125</c:v>
                </c:pt>
                <c:pt idx="51">
                  <c:v>90</c:v>
                </c:pt>
                <c:pt idx="52">
                  <c:v>115</c:v>
                </c:pt>
                <c:pt idx="53">
                  <c:v>185</c:v>
                </c:pt>
                <c:pt idx="54">
                  <c:v>135</c:v>
                </c:pt>
                <c:pt idx="55">
                  <c:v>110</c:v>
                </c:pt>
                <c:pt idx="56">
                  <c:v>55</c:v>
                </c:pt>
                <c:pt idx="57">
                  <c:v>85</c:v>
                </c:pt>
                <c:pt idx="58">
                  <c:v>140</c:v>
                </c:pt>
                <c:pt idx="59">
                  <c:v>250</c:v>
                </c:pt>
                <c:pt idx="60">
                  <c:v>230</c:v>
                </c:pt>
                <c:pt idx="61">
                  <c:v>180</c:v>
                </c:pt>
                <c:pt idx="62">
                  <c:v>165</c:v>
                </c:pt>
                <c:pt idx="63">
                  <c:v>105</c:v>
                </c:pt>
                <c:pt idx="64">
                  <c:v>160</c:v>
                </c:pt>
                <c:pt idx="65">
                  <c:v>165</c:v>
                </c:pt>
                <c:pt idx="66">
                  <c:v>170</c:v>
                </c:pt>
                <c:pt idx="67">
                  <c:v>245</c:v>
                </c:pt>
                <c:pt idx="68">
                  <c:v>185</c:v>
                </c:pt>
                <c:pt idx="69">
                  <c:v>160</c:v>
                </c:pt>
                <c:pt idx="70">
                  <c:v>95</c:v>
                </c:pt>
                <c:pt idx="71">
                  <c:v>160</c:v>
                </c:pt>
                <c:pt idx="72">
                  <c:v>215</c:v>
                </c:pt>
                <c:pt idx="73">
                  <c:v>175</c:v>
                </c:pt>
                <c:pt idx="74">
                  <c:v>210</c:v>
                </c:pt>
                <c:pt idx="75">
                  <c:v>120</c:v>
                </c:pt>
                <c:pt idx="76">
                  <c:v>130</c:v>
                </c:pt>
                <c:pt idx="77">
                  <c:v>100</c:v>
                </c:pt>
                <c:pt idx="78">
                  <c:v>240</c:v>
                </c:pt>
                <c:pt idx="79">
                  <c:v>120</c:v>
                </c:pt>
                <c:pt idx="80">
                  <c:v>215</c:v>
                </c:pt>
                <c:pt idx="81">
                  <c:v>165</c:v>
                </c:pt>
                <c:pt idx="82">
                  <c:v>160</c:v>
                </c:pt>
                <c:pt idx="83">
                  <c:v>240</c:v>
                </c:pt>
                <c:pt idx="84">
                  <c:v>185</c:v>
                </c:pt>
                <c:pt idx="85">
                  <c:v>130</c:v>
                </c:pt>
                <c:pt idx="86">
                  <c:v>190</c:v>
                </c:pt>
                <c:pt idx="87">
                  <c:v>205</c:v>
                </c:pt>
                <c:pt idx="88">
                  <c:v>100</c:v>
                </c:pt>
                <c:pt idx="89">
                  <c:v>180</c:v>
                </c:pt>
              </c:numCache>
            </c:numRef>
          </c:val>
          <c:extLst>
            <c:ext xmlns:c16="http://schemas.microsoft.com/office/drawing/2014/chart" uri="{C3380CC4-5D6E-409C-BE32-E72D297353CC}">
              <c16:uniqueId val="{00000000-4F87-4668-BAD7-32C2E018FBFE}"/>
            </c:ext>
          </c:extLst>
        </c:ser>
        <c:dLbls>
          <c:showLegendKey val="0"/>
          <c:showVal val="0"/>
          <c:showCatName val="0"/>
          <c:showSerName val="0"/>
          <c:showPercent val="0"/>
          <c:showBubbleSize val="0"/>
        </c:dLbls>
        <c:gapWidth val="219"/>
        <c:axId val="1433420896"/>
        <c:axId val="1433421856"/>
      </c:barChart>
      <c:lineChart>
        <c:grouping val="standard"/>
        <c:varyColors val="0"/>
        <c:ser>
          <c:idx val="0"/>
          <c:order val="0"/>
          <c:tx>
            <c:strRef>
              <c:f>Pivot_Tables!$C$4</c:f>
              <c:strCache>
                <c:ptCount val="1"/>
                <c:pt idx="0">
                  <c:v>Total Sales</c:v>
                </c:pt>
              </c:strCache>
            </c:strRef>
          </c:tx>
          <c:spPr>
            <a:ln w="19050" cap="rnd">
              <a:solidFill>
                <a:schemeClr val="accent4">
                  <a:shade val="76000"/>
                </a:schemeClr>
              </a:solidFill>
              <a:round/>
            </a:ln>
            <a:effectLst/>
          </c:spPr>
          <c:marker>
            <c:symbol val="none"/>
          </c:marker>
          <c:cat>
            <c:strRef>
              <c:f>Pivot_Tables!$B$5:$B$94</c:f>
              <c:strCache>
                <c:ptCount val="90"/>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pt idx="31">
                  <c:v>01-02-2025</c:v>
                </c:pt>
                <c:pt idx="32">
                  <c:v>02-02-2025</c:v>
                </c:pt>
                <c:pt idx="33">
                  <c:v>03-02-2025</c:v>
                </c:pt>
                <c:pt idx="34">
                  <c:v>04-02-2025</c:v>
                </c:pt>
                <c:pt idx="35">
                  <c:v>05-02-2025</c:v>
                </c:pt>
                <c:pt idx="36">
                  <c:v>06-02-2025</c:v>
                </c:pt>
                <c:pt idx="37">
                  <c:v>07-02-2025</c:v>
                </c:pt>
                <c:pt idx="38">
                  <c:v>08-02-2025</c:v>
                </c:pt>
                <c:pt idx="39">
                  <c:v>09-02-2025</c:v>
                </c:pt>
                <c:pt idx="40">
                  <c:v>10-02-2025</c:v>
                </c:pt>
                <c:pt idx="41">
                  <c:v>11-02-2025</c:v>
                </c:pt>
                <c:pt idx="42">
                  <c:v>12-02-2025</c:v>
                </c:pt>
                <c:pt idx="43">
                  <c:v>13-02-2025</c:v>
                </c:pt>
                <c:pt idx="44">
                  <c:v>14-02-2025</c:v>
                </c:pt>
                <c:pt idx="45">
                  <c:v>15-02-2025</c:v>
                </c:pt>
                <c:pt idx="46">
                  <c:v>16-02-2025</c:v>
                </c:pt>
                <c:pt idx="47">
                  <c:v>17-02-2025</c:v>
                </c:pt>
                <c:pt idx="48">
                  <c:v>18-02-2025</c:v>
                </c:pt>
                <c:pt idx="49">
                  <c:v>19-02-2025</c:v>
                </c:pt>
                <c:pt idx="50">
                  <c:v>20-02-2025</c:v>
                </c:pt>
                <c:pt idx="51">
                  <c:v>21-02-2025</c:v>
                </c:pt>
                <c:pt idx="52">
                  <c:v>22-02-2025</c:v>
                </c:pt>
                <c:pt idx="53">
                  <c:v>23-02-2025</c:v>
                </c:pt>
                <c:pt idx="54">
                  <c:v>24-02-2025</c:v>
                </c:pt>
                <c:pt idx="55">
                  <c:v>25-02-2025</c:v>
                </c:pt>
                <c:pt idx="56">
                  <c:v>26-02-2025</c:v>
                </c:pt>
                <c:pt idx="57">
                  <c:v>27-02-2025</c:v>
                </c:pt>
                <c:pt idx="58">
                  <c:v>28-02-2025</c:v>
                </c:pt>
                <c:pt idx="59">
                  <c:v>01-03-2025</c:v>
                </c:pt>
                <c:pt idx="60">
                  <c:v>02-03-2025</c:v>
                </c:pt>
                <c:pt idx="61">
                  <c:v>03-03-2025</c:v>
                </c:pt>
                <c:pt idx="62">
                  <c:v>04-03-2025</c:v>
                </c:pt>
                <c:pt idx="63">
                  <c:v>05-03-2025</c:v>
                </c:pt>
                <c:pt idx="64">
                  <c:v>06-03-2025</c:v>
                </c:pt>
                <c:pt idx="65">
                  <c:v>07-03-2025</c:v>
                </c:pt>
                <c:pt idx="66">
                  <c:v>08-03-2025</c:v>
                </c:pt>
                <c:pt idx="67">
                  <c:v>09-03-2025</c:v>
                </c:pt>
                <c:pt idx="68">
                  <c:v>10-03-2025</c:v>
                </c:pt>
                <c:pt idx="69">
                  <c:v>11-03-2025</c:v>
                </c:pt>
                <c:pt idx="70">
                  <c:v>12-03-2025</c:v>
                </c:pt>
                <c:pt idx="71">
                  <c:v>13-03-2025</c:v>
                </c:pt>
                <c:pt idx="72">
                  <c:v>14-03-2025</c:v>
                </c:pt>
                <c:pt idx="73">
                  <c:v>15-03-2025</c:v>
                </c:pt>
                <c:pt idx="74">
                  <c:v>16-03-2025</c:v>
                </c:pt>
                <c:pt idx="75">
                  <c:v>17-03-2025</c:v>
                </c:pt>
                <c:pt idx="76">
                  <c:v>18-03-2025</c:v>
                </c:pt>
                <c:pt idx="77">
                  <c:v>19-03-2025</c:v>
                </c:pt>
                <c:pt idx="78">
                  <c:v>20-03-2025</c:v>
                </c:pt>
                <c:pt idx="79">
                  <c:v>21-03-2025</c:v>
                </c:pt>
                <c:pt idx="80">
                  <c:v>22-03-2025</c:v>
                </c:pt>
                <c:pt idx="81">
                  <c:v>23-03-2025</c:v>
                </c:pt>
                <c:pt idx="82">
                  <c:v>24-03-2025</c:v>
                </c:pt>
                <c:pt idx="83">
                  <c:v>25-03-2025</c:v>
                </c:pt>
                <c:pt idx="84">
                  <c:v>26-03-2025</c:v>
                </c:pt>
                <c:pt idx="85">
                  <c:v>27-03-2025</c:v>
                </c:pt>
                <c:pt idx="86">
                  <c:v>28-03-2025</c:v>
                </c:pt>
                <c:pt idx="87">
                  <c:v>29-03-2025</c:v>
                </c:pt>
                <c:pt idx="88">
                  <c:v>30-03-2025</c:v>
                </c:pt>
                <c:pt idx="89">
                  <c:v>31-03-2025</c:v>
                </c:pt>
              </c:strCache>
            </c:strRef>
          </c:cat>
          <c:val>
            <c:numRef>
              <c:f>Pivot_Tables!$C$5:$C$94</c:f>
              <c:numCache>
                <c:formatCode>0</c:formatCode>
                <c:ptCount val="90"/>
                <c:pt idx="0">
                  <c:v>3</c:v>
                </c:pt>
                <c:pt idx="1">
                  <c:v>5</c:v>
                </c:pt>
                <c:pt idx="2">
                  <c:v>5</c:v>
                </c:pt>
                <c:pt idx="3">
                  <c:v>8</c:v>
                </c:pt>
                <c:pt idx="4">
                  <c:v>6</c:v>
                </c:pt>
                <c:pt idx="5">
                  <c:v>6</c:v>
                </c:pt>
                <c:pt idx="6">
                  <c:v>6</c:v>
                </c:pt>
                <c:pt idx="7">
                  <c:v>5</c:v>
                </c:pt>
                <c:pt idx="8">
                  <c:v>3</c:v>
                </c:pt>
                <c:pt idx="9">
                  <c:v>4</c:v>
                </c:pt>
                <c:pt idx="10">
                  <c:v>8</c:v>
                </c:pt>
                <c:pt idx="11">
                  <c:v>6</c:v>
                </c:pt>
                <c:pt idx="12">
                  <c:v>6</c:v>
                </c:pt>
                <c:pt idx="13">
                  <c:v>4</c:v>
                </c:pt>
                <c:pt idx="14">
                  <c:v>6</c:v>
                </c:pt>
                <c:pt idx="15">
                  <c:v>5</c:v>
                </c:pt>
                <c:pt idx="16">
                  <c:v>4</c:v>
                </c:pt>
                <c:pt idx="17">
                  <c:v>8</c:v>
                </c:pt>
                <c:pt idx="18">
                  <c:v>9</c:v>
                </c:pt>
                <c:pt idx="19">
                  <c:v>5</c:v>
                </c:pt>
                <c:pt idx="20">
                  <c:v>3</c:v>
                </c:pt>
                <c:pt idx="21">
                  <c:v>5</c:v>
                </c:pt>
                <c:pt idx="22">
                  <c:v>6</c:v>
                </c:pt>
                <c:pt idx="23">
                  <c:v>3</c:v>
                </c:pt>
                <c:pt idx="24">
                  <c:v>7</c:v>
                </c:pt>
                <c:pt idx="25">
                  <c:v>7</c:v>
                </c:pt>
                <c:pt idx="26">
                  <c:v>3</c:v>
                </c:pt>
                <c:pt idx="27">
                  <c:v>5</c:v>
                </c:pt>
                <c:pt idx="28">
                  <c:v>5</c:v>
                </c:pt>
                <c:pt idx="29">
                  <c:v>4</c:v>
                </c:pt>
                <c:pt idx="30">
                  <c:v>6</c:v>
                </c:pt>
                <c:pt idx="31">
                  <c:v>7</c:v>
                </c:pt>
                <c:pt idx="32">
                  <c:v>7</c:v>
                </c:pt>
                <c:pt idx="33">
                  <c:v>6</c:v>
                </c:pt>
                <c:pt idx="34">
                  <c:v>4</c:v>
                </c:pt>
                <c:pt idx="35">
                  <c:v>3</c:v>
                </c:pt>
                <c:pt idx="36">
                  <c:v>5</c:v>
                </c:pt>
                <c:pt idx="37">
                  <c:v>3</c:v>
                </c:pt>
                <c:pt idx="38">
                  <c:v>7</c:v>
                </c:pt>
                <c:pt idx="39">
                  <c:v>6</c:v>
                </c:pt>
                <c:pt idx="40">
                  <c:v>3</c:v>
                </c:pt>
                <c:pt idx="41">
                  <c:v>6</c:v>
                </c:pt>
                <c:pt idx="42">
                  <c:v>4</c:v>
                </c:pt>
                <c:pt idx="43">
                  <c:v>6</c:v>
                </c:pt>
                <c:pt idx="44">
                  <c:v>3</c:v>
                </c:pt>
                <c:pt idx="45">
                  <c:v>8</c:v>
                </c:pt>
                <c:pt idx="46">
                  <c:v>7</c:v>
                </c:pt>
                <c:pt idx="47">
                  <c:v>6</c:v>
                </c:pt>
                <c:pt idx="48">
                  <c:v>3</c:v>
                </c:pt>
                <c:pt idx="49">
                  <c:v>4</c:v>
                </c:pt>
                <c:pt idx="50">
                  <c:v>5</c:v>
                </c:pt>
                <c:pt idx="51">
                  <c:v>5</c:v>
                </c:pt>
                <c:pt idx="52">
                  <c:v>6</c:v>
                </c:pt>
                <c:pt idx="53">
                  <c:v>7</c:v>
                </c:pt>
                <c:pt idx="54">
                  <c:v>5</c:v>
                </c:pt>
                <c:pt idx="55">
                  <c:v>5</c:v>
                </c:pt>
                <c:pt idx="56">
                  <c:v>3</c:v>
                </c:pt>
                <c:pt idx="57">
                  <c:v>4</c:v>
                </c:pt>
                <c:pt idx="58">
                  <c:v>6</c:v>
                </c:pt>
                <c:pt idx="59">
                  <c:v>8</c:v>
                </c:pt>
                <c:pt idx="60">
                  <c:v>7</c:v>
                </c:pt>
                <c:pt idx="61">
                  <c:v>7</c:v>
                </c:pt>
                <c:pt idx="62">
                  <c:v>6</c:v>
                </c:pt>
                <c:pt idx="63">
                  <c:v>4</c:v>
                </c:pt>
                <c:pt idx="64">
                  <c:v>6</c:v>
                </c:pt>
                <c:pt idx="65">
                  <c:v>6</c:v>
                </c:pt>
                <c:pt idx="66">
                  <c:v>7</c:v>
                </c:pt>
                <c:pt idx="67">
                  <c:v>7</c:v>
                </c:pt>
                <c:pt idx="68">
                  <c:v>6</c:v>
                </c:pt>
                <c:pt idx="69">
                  <c:v>5</c:v>
                </c:pt>
                <c:pt idx="70">
                  <c:v>4</c:v>
                </c:pt>
                <c:pt idx="71">
                  <c:v>5</c:v>
                </c:pt>
                <c:pt idx="72">
                  <c:v>8</c:v>
                </c:pt>
                <c:pt idx="73">
                  <c:v>8</c:v>
                </c:pt>
                <c:pt idx="74">
                  <c:v>7</c:v>
                </c:pt>
                <c:pt idx="75">
                  <c:v>5</c:v>
                </c:pt>
                <c:pt idx="76">
                  <c:v>7</c:v>
                </c:pt>
                <c:pt idx="77">
                  <c:v>4</c:v>
                </c:pt>
                <c:pt idx="78">
                  <c:v>5</c:v>
                </c:pt>
                <c:pt idx="79">
                  <c:v>6</c:v>
                </c:pt>
                <c:pt idx="80">
                  <c:v>7</c:v>
                </c:pt>
                <c:pt idx="81">
                  <c:v>5</c:v>
                </c:pt>
                <c:pt idx="82">
                  <c:v>6</c:v>
                </c:pt>
                <c:pt idx="83">
                  <c:v>7</c:v>
                </c:pt>
                <c:pt idx="84">
                  <c:v>8</c:v>
                </c:pt>
                <c:pt idx="85">
                  <c:v>5</c:v>
                </c:pt>
                <c:pt idx="86">
                  <c:v>7</c:v>
                </c:pt>
                <c:pt idx="87">
                  <c:v>7</c:v>
                </c:pt>
                <c:pt idx="88">
                  <c:v>4</c:v>
                </c:pt>
                <c:pt idx="89">
                  <c:v>7</c:v>
                </c:pt>
              </c:numCache>
            </c:numRef>
          </c:val>
          <c:smooth val="1"/>
          <c:extLst>
            <c:ext xmlns:c16="http://schemas.microsoft.com/office/drawing/2014/chart" uri="{C3380CC4-5D6E-409C-BE32-E72D297353CC}">
              <c16:uniqueId val="{00000001-4F87-4668-BAD7-32C2E018FBFE}"/>
            </c:ext>
          </c:extLst>
        </c:ser>
        <c:dLbls>
          <c:showLegendKey val="0"/>
          <c:showVal val="0"/>
          <c:showCatName val="0"/>
          <c:showSerName val="0"/>
          <c:showPercent val="0"/>
          <c:showBubbleSize val="0"/>
        </c:dLbls>
        <c:marker val="1"/>
        <c:smooth val="0"/>
        <c:axId val="1433425696"/>
        <c:axId val="1433425216"/>
      </c:lineChart>
      <c:catAx>
        <c:axId val="143342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21856"/>
        <c:crosses val="autoZero"/>
        <c:auto val="1"/>
        <c:lblAlgn val="ctr"/>
        <c:lblOffset val="100"/>
        <c:noMultiLvlLbl val="0"/>
      </c:catAx>
      <c:valAx>
        <c:axId val="1433421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20896"/>
        <c:crosses val="autoZero"/>
        <c:crossBetween val="between"/>
      </c:valAx>
      <c:valAx>
        <c:axId val="143342521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25696"/>
        <c:crosses val="max"/>
        <c:crossBetween val="between"/>
      </c:valAx>
      <c:catAx>
        <c:axId val="1433425696"/>
        <c:scaling>
          <c:orientation val="minMax"/>
        </c:scaling>
        <c:delete val="1"/>
        <c:axPos val="b"/>
        <c:numFmt formatCode="General" sourceLinked="1"/>
        <c:majorTickMark val="out"/>
        <c:minorTickMark val="none"/>
        <c:tickLblPos val="nextTo"/>
        <c:crossAx val="14334252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[Bean_and_Brew_Dashboard.xlsx]Pivot_Tables!PivotTable2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Pivot_Tables!$G$4</c:f>
              <c:strCache>
                <c:ptCount val="1"/>
                <c:pt idx="0">
                  <c:v>Total</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Pivot_Tables!$F$5:$F$9</c:f>
              <c:strCache>
                <c:ptCount val="5"/>
                <c:pt idx="0">
                  <c:v>Cappuccino</c:v>
                </c:pt>
                <c:pt idx="1">
                  <c:v>Espresso</c:v>
                </c:pt>
                <c:pt idx="2">
                  <c:v>Latte</c:v>
                </c:pt>
                <c:pt idx="3">
                  <c:v>Pastry</c:v>
                </c:pt>
                <c:pt idx="4">
                  <c:v>Sandwich</c:v>
                </c:pt>
              </c:strCache>
            </c:strRef>
          </c:cat>
          <c:val>
            <c:numRef>
              <c:f>Pivot_Tables!$G$5:$G$9</c:f>
              <c:numCache>
                <c:formatCode>[$AED]\ #,##0.00</c:formatCode>
                <c:ptCount val="5"/>
                <c:pt idx="0">
                  <c:v>2560</c:v>
                </c:pt>
                <c:pt idx="1">
                  <c:v>2100</c:v>
                </c:pt>
                <c:pt idx="2">
                  <c:v>2880</c:v>
                </c:pt>
                <c:pt idx="3">
                  <c:v>2350</c:v>
                </c:pt>
                <c:pt idx="4">
                  <c:v>2590</c:v>
                </c:pt>
              </c:numCache>
            </c:numRef>
          </c:val>
          <c:extLst>
            <c:ext xmlns:c16="http://schemas.microsoft.com/office/drawing/2014/chart" uri="{C3380CC4-5D6E-409C-BE32-E72D297353CC}">
              <c16:uniqueId val="{00000000-E114-4B2C-A3F9-A04AAB486BEB}"/>
            </c:ext>
          </c:extLst>
        </c:ser>
        <c:dLbls>
          <c:showLegendKey val="0"/>
          <c:showVal val="0"/>
          <c:showCatName val="0"/>
          <c:showSerName val="0"/>
          <c:showPercent val="0"/>
          <c:showBubbleSize val="0"/>
        </c:dLbls>
        <c:gapWidth val="219"/>
        <c:overlap val="-27"/>
        <c:axId val="1324042448"/>
        <c:axId val="1324042928"/>
      </c:barChart>
      <c:catAx>
        <c:axId val="132404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42928"/>
        <c:crosses val="autoZero"/>
        <c:auto val="1"/>
        <c:lblAlgn val="ctr"/>
        <c:lblOffset val="100"/>
        <c:noMultiLvlLbl val="0"/>
      </c:catAx>
      <c:valAx>
        <c:axId val="1324042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04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[Bean_and_Brew_Dashboard.xlsx]Pivot_Tables!PivotTable3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Peak Hours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w="19050">
            <a:solidFill>
              <a:schemeClr val="lt1"/>
            </a:solidFill>
          </a:ln>
          <a:effectLst/>
        </c:spPr>
      </c:pivotFmt>
      <c:pivotFmt>
        <c:idx val="19"/>
        <c:spPr>
          <a:solidFill>
            <a:schemeClr val="accent4"/>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4"/>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4"/>
          </a:solidFill>
          <a:ln w="19050">
            <a:solidFill>
              <a:schemeClr val="lt1"/>
            </a:solidFill>
          </a:ln>
          <a:effectLst/>
        </c:spPr>
      </c:pivotFmt>
      <c:pivotFmt>
        <c:idx val="25"/>
        <c:spPr>
          <a:solidFill>
            <a:schemeClr val="accent4"/>
          </a:solidFill>
          <a:ln w="19050">
            <a:solidFill>
              <a:schemeClr val="lt1"/>
            </a:solidFill>
          </a:ln>
          <a:effectLst/>
        </c:spPr>
      </c:pivotFmt>
      <c:pivotFmt>
        <c:idx val="26"/>
        <c:spPr>
          <a:solidFill>
            <a:schemeClr val="accent4"/>
          </a:solidFill>
          <a:ln w="19050">
            <a:solidFill>
              <a:schemeClr val="lt1"/>
            </a:solidFill>
          </a:ln>
          <a:effectLst/>
        </c:spPr>
      </c:pivotFmt>
      <c:pivotFmt>
        <c:idx val="27"/>
        <c:spPr>
          <a:solidFill>
            <a:schemeClr val="accent4"/>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4"/>
          </a:solidFill>
          <a:ln w="19050">
            <a:solidFill>
              <a:schemeClr val="lt1"/>
            </a:solidFill>
          </a:ln>
          <a:effectLst/>
        </c:spPr>
      </c:pivotFmt>
      <c:pivotFmt>
        <c:idx val="30"/>
        <c:spPr>
          <a:solidFill>
            <a:schemeClr val="accent4"/>
          </a:solidFill>
          <a:ln w="19050">
            <a:solidFill>
              <a:schemeClr val="lt1"/>
            </a:solidFill>
          </a:ln>
          <a:effectLst/>
        </c:spPr>
      </c:pivotFmt>
      <c:pivotFmt>
        <c:idx val="3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w="19050">
            <a:solidFill>
              <a:schemeClr val="lt1"/>
            </a:solidFill>
          </a:ln>
          <a:effectLst/>
        </c:spPr>
      </c:pivotFmt>
      <c:pivotFmt>
        <c:idx val="33"/>
        <c:spPr>
          <a:solidFill>
            <a:schemeClr val="accent4"/>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4"/>
          </a:solidFill>
          <a:ln w="19050">
            <a:solidFill>
              <a:schemeClr val="lt1"/>
            </a:solidFill>
          </a:ln>
          <a:effectLst/>
        </c:spPr>
      </c:pivotFmt>
      <c:pivotFmt>
        <c:idx val="36"/>
        <c:spPr>
          <a:solidFill>
            <a:schemeClr val="accent4"/>
          </a:solidFill>
          <a:ln w="19050">
            <a:solidFill>
              <a:schemeClr val="lt1"/>
            </a:solidFill>
          </a:ln>
          <a:effectLst/>
        </c:spPr>
      </c:pivotFmt>
      <c:pivotFmt>
        <c:idx val="37"/>
        <c:spPr>
          <a:solidFill>
            <a:schemeClr val="accent4"/>
          </a:solidFill>
          <a:ln w="19050">
            <a:solidFill>
              <a:schemeClr val="lt1"/>
            </a:solidFill>
          </a:ln>
          <a:effectLst/>
        </c:spPr>
      </c:pivotFmt>
      <c:pivotFmt>
        <c:idx val="38"/>
        <c:spPr>
          <a:solidFill>
            <a:schemeClr val="accent4"/>
          </a:solidFill>
          <a:ln w="19050">
            <a:solidFill>
              <a:schemeClr val="lt1"/>
            </a:solidFill>
          </a:ln>
          <a:effectLst/>
        </c:spPr>
      </c:pivotFmt>
      <c:pivotFmt>
        <c:idx val="39"/>
        <c:spPr>
          <a:solidFill>
            <a:schemeClr val="accent4"/>
          </a:solidFill>
          <a:ln w="19050">
            <a:solidFill>
              <a:schemeClr val="lt1"/>
            </a:solidFill>
          </a:ln>
          <a:effectLst/>
        </c:spPr>
      </c:pivotFmt>
      <c:pivotFmt>
        <c:idx val="40"/>
        <c:spPr>
          <a:solidFill>
            <a:schemeClr val="accent4"/>
          </a:solidFill>
          <a:ln w="19050">
            <a:solidFill>
              <a:schemeClr val="lt1"/>
            </a:solidFill>
          </a:ln>
          <a:effectLst/>
        </c:spPr>
      </c:pivotFmt>
      <c:pivotFmt>
        <c:idx val="41"/>
        <c:spPr>
          <a:solidFill>
            <a:schemeClr val="accent4"/>
          </a:solidFill>
          <a:ln w="19050">
            <a:solidFill>
              <a:schemeClr val="lt1"/>
            </a:solidFill>
          </a:ln>
          <a:effectLst/>
        </c:spPr>
      </c:pivotFmt>
      <c:pivotFmt>
        <c:idx val="42"/>
        <c:spPr>
          <a:solidFill>
            <a:schemeClr val="accent4"/>
          </a:solidFill>
          <a:ln w="19050">
            <a:solidFill>
              <a:schemeClr val="lt1"/>
            </a:solidFill>
          </a:ln>
          <a:effectLst/>
        </c:spPr>
      </c:pivotFmt>
      <c:pivotFmt>
        <c:idx val="43"/>
        <c:spPr>
          <a:solidFill>
            <a:schemeClr val="accent4"/>
          </a:solidFill>
          <a:ln w="19050">
            <a:solidFill>
              <a:schemeClr val="lt1"/>
            </a:solidFill>
          </a:ln>
          <a:effectLst/>
        </c:spPr>
      </c:pivotFmt>
      <c:pivotFmt>
        <c:idx val="44"/>
        <c:spPr>
          <a:solidFill>
            <a:schemeClr val="accent4"/>
          </a:solidFill>
          <a:ln w="19050">
            <a:solidFill>
              <a:schemeClr val="lt1"/>
            </a:solidFill>
          </a:ln>
          <a:effectLst/>
        </c:spPr>
      </c:pivotFmt>
      <c:pivotFmt>
        <c:idx val="4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olidFill>
          <a:ln w="19050">
            <a:solidFill>
              <a:schemeClr val="lt1"/>
            </a:solidFill>
          </a:ln>
          <a:effectLst/>
        </c:spPr>
      </c:pivotFmt>
      <c:pivotFmt>
        <c:idx val="47"/>
        <c:spPr>
          <a:solidFill>
            <a:schemeClr val="accent4"/>
          </a:solidFill>
          <a:ln w="19050">
            <a:solidFill>
              <a:schemeClr val="lt1"/>
            </a:solidFill>
          </a:ln>
          <a:effectLst/>
        </c:spPr>
      </c:pivotFmt>
      <c:pivotFmt>
        <c:idx val="48"/>
        <c:spPr>
          <a:solidFill>
            <a:schemeClr val="accent4"/>
          </a:solidFill>
          <a:ln w="19050">
            <a:solidFill>
              <a:schemeClr val="lt1"/>
            </a:solidFill>
          </a:ln>
          <a:effectLst/>
        </c:spPr>
      </c:pivotFmt>
      <c:pivotFmt>
        <c:idx val="49"/>
        <c:spPr>
          <a:solidFill>
            <a:schemeClr val="accent4"/>
          </a:solidFill>
          <a:ln w="19050">
            <a:solidFill>
              <a:schemeClr val="lt1"/>
            </a:solidFill>
          </a:ln>
          <a:effectLst/>
        </c:spPr>
      </c:pivotFmt>
      <c:pivotFmt>
        <c:idx val="50"/>
        <c:spPr>
          <a:solidFill>
            <a:schemeClr val="accent4"/>
          </a:solidFill>
          <a:ln w="19050">
            <a:solidFill>
              <a:schemeClr val="lt1"/>
            </a:solidFill>
          </a:ln>
          <a:effectLst/>
        </c:spPr>
      </c:pivotFmt>
      <c:pivotFmt>
        <c:idx val="51"/>
        <c:spPr>
          <a:solidFill>
            <a:schemeClr val="accent4"/>
          </a:solidFill>
          <a:ln w="19050">
            <a:solidFill>
              <a:schemeClr val="lt1"/>
            </a:solidFill>
          </a:ln>
          <a:effectLst/>
        </c:spPr>
      </c:pivotFmt>
      <c:pivotFmt>
        <c:idx val="52"/>
        <c:spPr>
          <a:solidFill>
            <a:schemeClr val="accent4"/>
          </a:solidFill>
          <a:ln w="19050">
            <a:solidFill>
              <a:schemeClr val="lt1"/>
            </a:solidFill>
          </a:ln>
          <a:effectLst/>
        </c:spPr>
      </c:pivotFmt>
      <c:pivotFmt>
        <c:idx val="53"/>
        <c:spPr>
          <a:solidFill>
            <a:schemeClr val="accent4"/>
          </a:solidFill>
          <a:ln w="19050">
            <a:solidFill>
              <a:schemeClr val="lt1"/>
            </a:solidFill>
          </a:ln>
          <a:effectLst/>
        </c:spPr>
      </c:pivotFmt>
      <c:pivotFmt>
        <c:idx val="54"/>
        <c:spPr>
          <a:solidFill>
            <a:schemeClr val="accent4"/>
          </a:solidFill>
          <a:ln w="19050">
            <a:solidFill>
              <a:schemeClr val="lt1"/>
            </a:solidFill>
          </a:ln>
          <a:effectLst/>
        </c:spPr>
      </c:pivotFmt>
      <c:pivotFmt>
        <c:idx val="55"/>
        <c:spPr>
          <a:solidFill>
            <a:schemeClr val="accent4"/>
          </a:solidFill>
          <a:ln w="19050">
            <a:solidFill>
              <a:schemeClr val="lt1"/>
            </a:solidFill>
          </a:ln>
          <a:effectLst/>
        </c:spPr>
      </c:pivotFmt>
      <c:pivotFmt>
        <c:idx val="56"/>
        <c:spPr>
          <a:solidFill>
            <a:schemeClr val="accent4"/>
          </a:solidFill>
          <a:ln w="19050">
            <a:solidFill>
              <a:schemeClr val="lt1"/>
            </a:solidFill>
          </a:ln>
          <a:effectLst/>
        </c:spPr>
      </c:pivotFmt>
      <c:pivotFmt>
        <c:idx val="57"/>
        <c:spPr>
          <a:solidFill>
            <a:schemeClr val="accent4"/>
          </a:solidFill>
          <a:ln w="19050">
            <a:solidFill>
              <a:schemeClr val="lt1"/>
            </a:solidFill>
          </a:ln>
          <a:effectLst/>
        </c:spPr>
      </c:pivotFmt>
      <c:pivotFmt>
        <c:idx val="58"/>
        <c:spPr>
          <a:solidFill>
            <a:schemeClr val="accent4"/>
          </a:solidFill>
          <a:ln w="19050">
            <a:solidFill>
              <a:schemeClr val="lt1"/>
            </a:solidFill>
          </a:ln>
          <a:effectLst/>
        </c:spPr>
      </c:pivotFmt>
      <c:pivotFmt>
        <c:idx val="5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4"/>
          </a:solidFill>
          <a:ln w="19050">
            <a:solidFill>
              <a:schemeClr val="lt1"/>
            </a:solidFill>
          </a:ln>
          <a:effectLst/>
        </c:spPr>
      </c:pivotFmt>
      <c:pivotFmt>
        <c:idx val="61"/>
        <c:spPr>
          <a:solidFill>
            <a:schemeClr val="accent4"/>
          </a:solidFill>
          <a:ln w="19050">
            <a:solidFill>
              <a:schemeClr val="lt1"/>
            </a:solidFill>
          </a:ln>
          <a:effectLst/>
        </c:spPr>
      </c:pivotFmt>
      <c:pivotFmt>
        <c:idx val="62"/>
        <c:spPr>
          <a:solidFill>
            <a:schemeClr val="accent4"/>
          </a:solidFill>
          <a:ln w="19050">
            <a:solidFill>
              <a:schemeClr val="lt1"/>
            </a:solidFill>
          </a:ln>
          <a:effectLst/>
        </c:spPr>
      </c:pivotFmt>
      <c:pivotFmt>
        <c:idx val="63"/>
        <c:spPr>
          <a:solidFill>
            <a:schemeClr val="accent4"/>
          </a:solidFill>
          <a:ln w="19050">
            <a:solidFill>
              <a:schemeClr val="lt1"/>
            </a:solidFill>
          </a:ln>
          <a:effectLst/>
        </c:spPr>
      </c:pivotFmt>
      <c:pivotFmt>
        <c:idx val="64"/>
        <c:spPr>
          <a:solidFill>
            <a:schemeClr val="accent4"/>
          </a:solidFill>
          <a:ln w="19050">
            <a:solidFill>
              <a:schemeClr val="lt1"/>
            </a:solidFill>
          </a:ln>
          <a:effectLst/>
        </c:spPr>
      </c:pivotFmt>
      <c:pivotFmt>
        <c:idx val="65"/>
        <c:spPr>
          <a:solidFill>
            <a:schemeClr val="accent4"/>
          </a:solidFill>
          <a:ln w="19050">
            <a:solidFill>
              <a:schemeClr val="lt1"/>
            </a:solidFill>
          </a:ln>
          <a:effectLst/>
        </c:spPr>
      </c:pivotFmt>
      <c:pivotFmt>
        <c:idx val="66"/>
        <c:spPr>
          <a:solidFill>
            <a:schemeClr val="accent4"/>
          </a:solidFill>
          <a:ln w="19050">
            <a:solidFill>
              <a:schemeClr val="lt1"/>
            </a:solidFill>
          </a:ln>
          <a:effectLst/>
        </c:spPr>
      </c:pivotFmt>
      <c:pivotFmt>
        <c:idx val="67"/>
        <c:spPr>
          <a:solidFill>
            <a:schemeClr val="accent4"/>
          </a:solidFill>
          <a:ln w="19050">
            <a:solidFill>
              <a:schemeClr val="lt1"/>
            </a:solidFill>
          </a:ln>
          <a:effectLst/>
        </c:spPr>
      </c:pivotFmt>
      <c:pivotFmt>
        <c:idx val="68"/>
        <c:spPr>
          <a:solidFill>
            <a:schemeClr val="accent4"/>
          </a:solidFill>
          <a:ln w="19050">
            <a:solidFill>
              <a:schemeClr val="lt1"/>
            </a:solidFill>
          </a:ln>
          <a:effectLst/>
        </c:spPr>
      </c:pivotFmt>
      <c:pivotFmt>
        <c:idx val="69"/>
        <c:spPr>
          <a:solidFill>
            <a:schemeClr val="accent4"/>
          </a:solidFill>
          <a:ln w="19050">
            <a:solidFill>
              <a:schemeClr val="lt1"/>
            </a:solidFill>
          </a:ln>
          <a:effectLst/>
        </c:spPr>
      </c:pivotFmt>
      <c:pivotFmt>
        <c:idx val="70"/>
        <c:spPr>
          <a:solidFill>
            <a:schemeClr val="accent4"/>
          </a:solidFill>
          <a:ln w="19050">
            <a:solidFill>
              <a:schemeClr val="lt1"/>
            </a:solidFill>
          </a:ln>
          <a:effectLst/>
        </c:spPr>
      </c:pivotFmt>
      <c:pivotFmt>
        <c:idx val="71"/>
        <c:spPr>
          <a:solidFill>
            <a:schemeClr val="accent4"/>
          </a:solidFill>
          <a:ln w="19050">
            <a:solidFill>
              <a:schemeClr val="lt1"/>
            </a:solidFill>
          </a:ln>
          <a:effectLst/>
        </c:spPr>
      </c:pivotFmt>
      <c:pivotFmt>
        <c:idx val="72"/>
        <c:spPr>
          <a:solidFill>
            <a:schemeClr val="accent4"/>
          </a:solidFill>
          <a:ln w="19050">
            <a:solidFill>
              <a:schemeClr val="lt1"/>
            </a:solidFill>
          </a:ln>
          <a:effectLst/>
        </c:spPr>
      </c:pivotFmt>
      <c:pivotFmt>
        <c:idx val="7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4"/>
          </a:solidFill>
          <a:ln w="19050">
            <a:solidFill>
              <a:schemeClr val="lt1"/>
            </a:solidFill>
          </a:ln>
          <a:effectLst/>
        </c:spPr>
      </c:pivotFmt>
      <c:pivotFmt>
        <c:idx val="75"/>
        <c:spPr>
          <a:solidFill>
            <a:schemeClr val="accent4"/>
          </a:solidFill>
          <a:ln w="19050">
            <a:solidFill>
              <a:schemeClr val="lt1"/>
            </a:solidFill>
          </a:ln>
          <a:effectLst/>
        </c:spPr>
      </c:pivotFmt>
      <c:pivotFmt>
        <c:idx val="76"/>
        <c:spPr>
          <a:solidFill>
            <a:schemeClr val="accent4"/>
          </a:solidFill>
          <a:ln w="19050">
            <a:solidFill>
              <a:schemeClr val="lt1"/>
            </a:solidFill>
          </a:ln>
          <a:effectLst/>
        </c:spPr>
      </c:pivotFmt>
      <c:pivotFmt>
        <c:idx val="77"/>
        <c:spPr>
          <a:solidFill>
            <a:schemeClr val="accent4"/>
          </a:solidFill>
          <a:ln w="19050">
            <a:solidFill>
              <a:schemeClr val="lt1"/>
            </a:solidFill>
          </a:ln>
          <a:effectLst/>
        </c:spPr>
      </c:pivotFmt>
      <c:pivotFmt>
        <c:idx val="78"/>
        <c:spPr>
          <a:solidFill>
            <a:schemeClr val="accent4"/>
          </a:solidFill>
          <a:ln w="19050">
            <a:solidFill>
              <a:schemeClr val="lt1"/>
            </a:solidFill>
          </a:ln>
          <a:effectLst/>
        </c:spPr>
      </c:pivotFmt>
      <c:pivotFmt>
        <c:idx val="79"/>
        <c:spPr>
          <a:solidFill>
            <a:schemeClr val="accent4"/>
          </a:solidFill>
          <a:ln w="19050">
            <a:solidFill>
              <a:schemeClr val="lt1"/>
            </a:solidFill>
          </a:ln>
          <a:effectLst/>
        </c:spPr>
      </c:pivotFmt>
      <c:pivotFmt>
        <c:idx val="80"/>
        <c:spPr>
          <a:solidFill>
            <a:schemeClr val="accent4"/>
          </a:solidFill>
          <a:ln w="19050">
            <a:solidFill>
              <a:schemeClr val="lt1"/>
            </a:solidFill>
          </a:ln>
          <a:effectLst/>
        </c:spPr>
      </c:pivotFmt>
      <c:pivotFmt>
        <c:idx val="81"/>
        <c:spPr>
          <a:solidFill>
            <a:schemeClr val="accent4"/>
          </a:solidFill>
          <a:ln w="19050">
            <a:solidFill>
              <a:schemeClr val="lt1"/>
            </a:solidFill>
          </a:ln>
          <a:effectLst/>
        </c:spPr>
      </c:pivotFmt>
      <c:pivotFmt>
        <c:idx val="82"/>
        <c:spPr>
          <a:solidFill>
            <a:schemeClr val="accent4"/>
          </a:solidFill>
          <a:ln w="19050">
            <a:solidFill>
              <a:schemeClr val="lt1"/>
            </a:solidFill>
          </a:ln>
          <a:effectLst/>
        </c:spPr>
      </c:pivotFmt>
      <c:pivotFmt>
        <c:idx val="83"/>
        <c:spPr>
          <a:solidFill>
            <a:schemeClr val="accent4"/>
          </a:solidFill>
          <a:ln w="19050">
            <a:solidFill>
              <a:schemeClr val="lt1"/>
            </a:solidFill>
          </a:ln>
          <a:effectLst/>
        </c:spPr>
      </c:pivotFmt>
      <c:pivotFmt>
        <c:idx val="84"/>
        <c:spPr>
          <a:solidFill>
            <a:schemeClr val="accent4"/>
          </a:solidFill>
          <a:ln w="19050">
            <a:solidFill>
              <a:schemeClr val="lt1"/>
            </a:solidFill>
          </a:ln>
          <a:effectLst/>
        </c:spPr>
      </c:pivotFmt>
      <c:pivotFmt>
        <c:idx val="85"/>
        <c:spPr>
          <a:solidFill>
            <a:schemeClr val="accent4"/>
          </a:solidFill>
          <a:ln w="19050">
            <a:solidFill>
              <a:schemeClr val="lt1"/>
            </a:solidFill>
          </a:ln>
          <a:effectLst/>
        </c:spPr>
      </c:pivotFmt>
      <c:pivotFmt>
        <c:idx val="86"/>
        <c:spPr>
          <a:solidFill>
            <a:schemeClr val="accent4"/>
          </a:solidFill>
          <a:ln w="19050">
            <a:solidFill>
              <a:schemeClr val="lt1"/>
            </a:solidFill>
          </a:ln>
          <a:effectLst/>
        </c:spPr>
      </c:pivotFmt>
    </c:pivotFmts>
    <c:plotArea>
      <c:layout/>
      <c:barChart>
        <c:barDir val="col"/>
        <c:grouping val="clustered"/>
        <c:varyColors val="0"/>
        <c:ser>
          <c:idx val="0"/>
          <c:order val="0"/>
          <c:tx>
            <c:strRef>
              <c:f>Pivot_Tables!$G$13</c:f>
              <c:strCache>
                <c:ptCount val="1"/>
                <c:pt idx="0">
                  <c:v>Total</c:v>
                </c:pt>
              </c:strCache>
            </c:strRef>
          </c:tx>
          <c:spPr>
            <a:solidFill>
              <a:schemeClr val="accent4"/>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337B-4999-9CA4-0017A229CD52}"/>
              </c:ext>
            </c:extLst>
          </c:dPt>
          <c:dPt>
            <c:idx val="1"/>
            <c:invertIfNegative val="0"/>
            <c:bubble3D val="0"/>
            <c:extLst>
              <c:ext xmlns:c16="http://schemas.microsoft.com/office/drawing/2014/chart" uri="{C3380CC4-5D6E-409C-BE32-E72D297353CC}">
                <c16:uniqueId val="{00000003-337B-4999-9CA4-0017A229CD52}"/>
              </c:ext>
            </c:extLst>
          </c:dPt>
          <c:dPt>
            <c:idx val="2"/>
            <c:invertIfNegative val="0"/>
            <c:bubble3D val="0"/>
            <c:extLst>
              <c:ext xmlns:c16="http://schemas.microsoft.com/office/drawing/2014/chart" uri="{C3380CC4-5D6E-409C-BE32-E72D297353CC}">
                <c16:uniqueId val="{00000005-337B-4999-9CA4-0017A229CD52}"/>
              </c:ext>
            </c:extLst>
          </c:dPt>
          <c:dPt>
            <c:idx val="3"/>
            <c:invertIfNegative val="0"/>
            <c:bubble3D val="0"/>
            <c:extLst>
              <c:ext xmlns:c16="http://schemas.microsoft.com/office/drawing/2014/chart" uri="{C3380CC4-5D6E-409C-BE32-E72D297353CC}">
                <c16:uniqueId val="{00000007-337B-4999-9CA4-0017A229CD52}"/>
              </c:ext>
            </c:extLst>
          </c:dPt>
          <c:dPt>
            <c:idx val="4"/>
            <c:invertIfNegative val="0"/>
            <c:bubble3D val="0"/>
            <c:extLst>
              <c:ext xmlns:c16="http://schemas.microsoft.com/office/drawing/2014/chart" uri="{C3380CC4-5D6E-409C-BE32-E72D297353CC}">
                <c16:uniqueId val="{00000009-337B-4999-9CA4-0017A229CD52}"/>
              </c:ext>
            </c:extLst>
          </c:dPt>
          <c:dPt>
            <c:idx val="5"/>
            <c:invertIfNegative val="0"/>
            <c:bubble3D val="0"/>
            <c:extLst>
              <c:ext xmlns:c16="http://schemas.microsoft.com/office/drawing/2014/chart" uri="{C3380CC4-5D6E-409C-BE32-E72D297353CC}">
                <c16:uniqueId val="{0000000B-337B-4999-9CA4-0017A229CD52}"/>
              </c:ext>
            </c:extLst>
          </c:dPt>
          <c:dPt>
            <c:idx val="6"/>
            <c:invertIfNegative val="0"/>
            <c:bubble3D val="0"/>
            <c:extLst>
              <c:ext xmlns:c16="http://schemas.microsoft.com/office/drawing/2014/chart" uri="{C3380CC4-5D6E-409C-BE32-E72D297353CC}">
                <c16:uniqueId val="{0000000D-337B-4999-9CA4-0017A229CD52}"/>
              </c:ext>
            </c:extLst>
          </c:dPt>
          <c:dPt>
            <c:idx val="7"/>
            <c:invertIfNegative val="0"/>
            <c:bubble3D val="0"/>
            <c:extLst>
              <c:ext xmlns:c16="http://schemas.microsoft.com/office/drawing/2014/chart" uri="{C3380CC4-5D6E-409C-BE32-E72D297353CC}">
                <c16:uniqueId val="{0000000F-337B-4999-9CA4-0017A229CD52}"/>
              </c:ext>
            </c:extLst>
          </c:dPt>
          <c:dPt>
            <c:idx val="8"/>
            <c:invertIfNegative val="0"/>
            <c:bubble3D val="0"/>
            <c:extLst>
              <c:ext xmlns:c16="http://schemas.microsoft.com/office/drawing/2014/chart" uri="{C3380CC4-5D6E-409C-BE32-E72D297353CC}">
                <c16:uniqueId val="{00000011-337B-4999-9CA4-0017A229CD52}"/>
              </c:ext>
            </c:extLst>
          </c:dPt>
          <c:dPt>
            <c:idx val="9"/>
            <c:invertIfNegative val="0"/>
            <c:bubble3D val="0"/>
            <c:extLst>
              <c:ext xmlns:c16="http://schemas.microsoft.com/office/drawing/2014/chart" uri="{C3380CC4-5D6E-409C-BE32-E72D297353CC}">
                <c16:uniqueId val="{00000013-337B-4999-9CA4-0017A229CD52}"/>
              </c:ext>
            </c:extLst>
          </c:dPt>
          <c:dPt>
            <c:idx val="10"/>
            <c:invertIfNegative val="0"/>
            <c:bubble3D val="0"/>
            <c:extLst>
              <c:ext xmlns:c16="http://schemas.microsoft.com/office/drawing/2014/chart" uri="{C3380CC4-5D6E-409C-BE32-E72D297353CC}">
                <c16:uniqueId val="{00000015-337B-4999-9CA4-0017A229CD52}"/>
              </c:ext>
            </c:extLst>
          </c:dPt>
          <c:dPt>
            <c:idx val="11"/>
            <c:invertIfNegative val="0"/>
            <c:bubble3D val="0"/>
            <c:extLst>
              <c:ext xmlns:c16="http://schemas.microsoft.com/office/drawing/2014/chart" uri="{C3380CC4-5D6E-409C-BE32-E72D297353CC}">
                <c16:uniqueId val="{00000017-337B-4999-9CA4-0017A229CD52}"/>
              </c:ext>
            </c:extLst>
          </c:dPt>
          <c:dPt>
            <c:idx val="12"/>
            <c:invertIfNegative val="0"/>
            <c:bubble3D val="0"/>
            <c:extLst>
              <c:ext xmlns:c16="http://schemas.microsoft.com/office/drawing/2014/chart" uri="{C3380CC4-5D6E-409C-BE32-E72D297353CC}">
                <c16:uniqueId val="{00000019-337B-4999-9CA4-0017A229CD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Pivot_Tables!$F$14:$F$26</c:f>
              <c:strCache>
                <c:ptCount val="13"/>
                <c:pt idx="0">
                  <c:v>7</c:v>
                </c:pt>
                <c:pt idx="1">
                  <c:v>8</c:v>
                </c:pt>
                <c:pt idx="2">
                  <c:v>9</c:v>
                </c:pt>
                <c:pt idx="3">
                  <c:v>10</c:v>
                </c:pt>
                <c:pt idx="4">
                  <c:v>11</c:v>
                </c:pt>
                <c:pt idx="5">
                  <c:v>12</c:v>
                </c:pt>
                <c:pt idx="6">
                  <c:v>13</c:v>
                </c:pt>
                <c:pt idx="7">
                  <c:v>14</c:v>
                </c:pt>
                <c:pt idx="8">
                  <c:v>15</c:v>
                </c:pt>
                <c:pt idx="9">
                  <c:v>16</c:v>
                </c:pt>
                <c:pt idx="10">
                  <c:v>17</c:v>
                </c:pt>
                <c:pt idx="11">
                  <c:v>18</c:v>
                </c:pt>
                <c:pt idx="12">
                  <c:v>19</c:v>
                </c:pt>
              </c:strCache>
            </c:strRef>
          </c:cat>
          <c:val>
            <c:numRef>
              <c:f>Pivot_Tables!$G$14:$G$26</c:f>
              <c:numCache>
                <c:formatCode>0</c:formatCode>
                <c:ptCount val="13"/>
                <c:pt idx="0">
                  <c:v>32</c:v>
                </c:pt>
                <c:pt idx="1">
                  <c:v>47</c:v>
                </c:pt>
                <c:pt idx="2">
                  <c:v>58</c:v>
                </c:pt>
                <c:pt idx="3">
                  <c:v>45</c:v>
                </c:pt>
                <c:pt idx="4">
                  <c:v>31</c:v>
                </c:pt>
                <c:pt idx="5">
                  <c:v>33</c:v>
                </c:pt>
                <c:pt idx="6">
                  <c:v>28</c:v>
                </c:pt>
                <c:pt idx="7">
                  <c:v>41</c:v>
                </c:pt>
                <c:pt idx="8">
                  <c:v>35</c:v>
                </c:pt>
                <c:pt idx="9">
                  <c:v>50</c:v>
                </c:pt>
                <c:pt idx="10">
                  <c:v>37</c:v>
                </c:pt>
                <c:pt idx="11">
                  <c:v>30</c:v>
                </c:pt>
                <c:pt idx="12">
                  <c:v>34</c:v>
                </c:pt>
              </c:numCache>
            </c:numRef>
          </c:val>
          <c:extLst>
            <c:ext xmlns:c16="http://schemas.microsoft.com/office/drawing/2014/chart" uri="{C3380CC4-5D6E-409C-BE32-E72D297353CC}">
              <c16:uniqueId val="{0000001A-337B-4999-9CA4-0017A229CD52}"/>
            </c:ext>
          </c:extLst>
        </c:ser>
        <c:dLbls>
          <c:showLegendKey val="0"/>
          <c:showVal val="0"/>
          <c:showCatName val="0"/>
          <c:showSerName val="0"/>
          <c:showPercent val="0"/>
          <c:showBubbleSize val="0"/>
        </c:dLbls>
        <c:gapWidth val="100"/>
        <c:axId val="866327056"/>
        <c:axId val="866327536"/>
      </c:barChart>
      <c:catAx>
        <c:axId val="866327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327536"/>
        <c:crosses val="autoZero"/>
        <c:auto val="1"/>
        <c:lblAlgn val="ctr"/>
        <c:lblOffset val="100"/>
        <c:noMultiLvlLbl val="0"/>
      </c:catAx>
      <c:valAx>
        <c:axId val="866327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32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19970</xdr:colOff>
      <xdr:row>1</xdr:row>
      <xdr:rowOff>45720</xdr:rowOff>
    </xdr:from>
    <xdr:to>
      <xdr:col>11</xdr:col>
      <xdr:colOff>606710</xdr:colOff>
      <xdr:row>7</xdr:row>
      <xdr:rowOff>22860</xdr:rowOff>
    </xdr:to>
    <xdr:sp macro="" textlink="">
      <xdr:nvSpPr>
        <xdr:cNvPr id="2" name="Rectangle: Rounded Corners 1">
          <a:extLst>
            <a:ext uri="{FF2B5EF4-FFF2-40B4-BE49-F238E27FC236}">
              <a16:creationId xmlns:a16="http://schemas.microsoft.com/office/drawing/2014/main" id="{63F4A122-615F-9D22-CAF2-33096A21A232}"/>
            </a:ext>
          </a:extLst>
        </xdr:cNvPr>
        <xdr:cNvSpPr/>
      </xdr:nvSpPr>
      <xdr:spPr>
        <a:xfrm>
          <a:off x="5506370" y="404308"/>
          <a:ext cx="1805940" cy="1061870"/>
        </a:xfrm>
        <a:prstGeom prst="roundRect">
          <a:avLst/>
        </a:prstGeom>
        <a:solidFill>
          <a:schemeClr val="accent4">
            <a:lumMod val="7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187610</xdr:colOff>
      <xdr:row>1</xdr:row>
      <xdr:rowOff>30480</xdr:rowOff>
    </xdr:from>
    <xdr:to>
      <xdr:col>15</xdr:col>
      <xdr:colOff>164750</xdr:colOff>
      <xdr:row>7</xdr:row>
      <xdr:rowOff>7620</xdr:rowOff>
    </xdr:to>
    <xdr:sp macro="" textlink="">
      <xdr:nvSpPr>
        <xdr:cNvPr id="3" name="Rectangle: Rounded Corners 2">
          <a:extLst>
            <a:ext uri="{FF2B5EF4-FFF2-40B4-BE49-F238E27FC236}">
              <a16:creationId xmlns:a16="http://schemas.microsoft.com/office/drawing/2014/main" id="{BCEE148F-CAFD-4935-9D9C-A5E0BE09CDBE}"/>
            </a:ext>
          </a:extLst>
        </xdr:cNvPr>
        <xdr:cNvSpPr/>
      </xdr:nvSpPr>
      <xdr:spPr>
        <a:xfrm>
          <a:off x="7502810" y="389068"/>
          <a:ext cx="1805940" cy="1061870"/>
        </a:xfrm>
        <a:prstGeom prst="roundRect">
          <a:avLst/>
        </a:prstGeom>
        <a:solidFill>
          <a:schemeClr val="accent4">
            <a:lumMod val="7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355250</xdr:colOff>
      <xdr:row>1</xdr:row>
      <xdr:rowOff>30480</xdr:rowOff>
    </xdr:from>
    <xdr:to>
      <xdr:col>18</xdr:col>
      <xdr:colOff>332390</xdr:colOff>
      <xdr:row>7</xdr:row>
      <xdr:rowOff>7620</xdr:rowOff>
    </xdr:to>
    <xdr:sp macro="" textlink="">
      <xdr:nvSpPr>
        <xdr:cNvPr id="4" name="Rectangle: Rounded Corners 3">
          <a:extLst>
            <a:ext uri="{FF2B5EF4-FFF2-40B4-BE49-F238E27FC236}">
              <a16:creationId xmlns:a16="http://schemas.microsoft.com/office/drawing/2014/main" id="{CE053F19-0A83-4F8C-8B21-2DCF1E79B116}"/>
            </a:ext>
          </a:extLst>
        </xdr:cNvPr>
        <xdr:cNvSpPr/>
      </xdr:nvSpPr>
      <xdr:spPr>
        <a:xfrm>
          <a:off x="9499250" y="389068"/>
          <a:ext cx="1805940" cy="1061870"/>
        </a:xfrm>
        <a:prstGeom prst="roundRect">
          <a:avLst/>
        </a:prstGeom>
        <a:solidFill>
          <a:schemeClr val="accent4">
            <a:lumMod val="75000"/>
          </a:schemeClr>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12350</xdr:colOff>
      <xdr:row>1</xdr:row>
      <xdr:rowOff>114300</xdr:rowOff>
    </xdr:from>
    <xdr:to>
      <xdr:col>11</xdr:col>
      <xdr:colOff>599090</xdr:colOff>
      <xdr:row>4</xdr:row>
      <xdr:rowOff>68580</xdr:rowOff>
    </xdr:to>
    <xdr:sp macro="" textlink="">
      <xdr:nvSpPr>
        <xdr:cNvPr id="5" name="TextBox 4">
          <a:extLst>
            <a:ext uri="{FF2B5EF4-FFF2-40B4-BE49-F238E27FC236}">
              <a16:creationId xmlns:a16="http://schemas.microsoft.com/office/drawing/2014/main" id="{572C1714-81BE-ED03-B58B-907B98F5C5D1}"/>
            </a:ext>
          </a:extLst>
        </xdr:cNvPr>
        <xdr:cNvSpPr txBox="1"/>
      </xdr:nvSpPr>
      <xdr:spPr>
        <a:xfrm>
          <a:off x="5498750" y="472888"/>
          <a:ext cx="1805940" cy="50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a:t>
          </a:r>
          <a:r>
            <a:rPr lang="en-IN" sz="2000" b="1">
              <a:solidFill>
                <a:schemeClr val="bg1"/>
              </a:solidFill>
            </a:rPr>
            <a:t> </a:t>
          </a:r>
          <a:r>
            <a:rPr lang="en-IN" sz="1800" b="1">
              <a:solidFill>
                <a:schemeClr val="bg1"/>
              </a:solidFill>
            </a:rPr>
            <a:t>Revenue</a:t>
          </a:r>
        </a:p>
      </xdr:txBody>
    </xdr:sp>
    <xdr:clientData/>
  </xdr:twoCellAnchor>
  <xdr:twoCellAnchor>
    <xdr:from>
      <xdr:col>12</xdr:col>
      <xdr:colOff>179990</xdr:colOff>
      <xdr:row>1</xdr:row>
      <xdr:rowOff>106680</xdr:rowOff>
    </xdr:from>
    <xdr:to>
      <xdr:col>15</xdr:col>
      <xdr:colOff>157130</xdr:colOff>
      <xdr:row>4</xdr:row>
      <xdr:rowOff>60960</xdr:rowOff>
    </xdr:to>
    <xdr:sp macro="" textlink="">
      <xdr:nvSpPr>
        <xdr:cNvPr id="6" name="TextBox 5">
          <a:extLst>
            <a:ext uri="{FF2B5EF4-FFF2-40B4-BE49-F238E27FC236}">
              <a16:creationId xmlns:a16="http://schemas.microsoft.com/office/drawing/2014/main" id="{A1153E04-27CC-479C-A49F-BCA3467ECFED}"/>
            </a:ext>
          </a:extLst>
        </xdr:cNvPr>
        <xdr:cNvSpPr txBox="1"/>
      </xdr:nvSpPr>
      <xdr:spPr>
        <a:xfrm>
          <a:off x="7495190" y="465268"/>
          <a:ext cx="1805940" cy="50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 Sales</a:t>
          </a:r>
        </a:p>
      </xdr:txBody>
    </xdr:sp>
    <xdr:clientData/>
  </xdr:twoCellAnchor>
  <xdr:twoCellAnchor>
    <xdr:from>
      <xdr:col>15</xdr:col>
      <xdr:colOff>347630</xdr:colOff>
      <xdr:row>1</xdr:row>
      <xdr:rowOff>99060</xdr:rowOff>
    </xdr:from>
    <xdr:to>
      <xdr:col>18</xdr:col>
      <xdr:colOff>324770</xdr:colOff>
      <xdr:row>4</xdr:row>
      <xdr:rowOff>53340</xdr:rowOff>
    </xdr:to>
    <xdr:sp macro="" textlink="">
      <xdr:nvSpPr>
        <xdr:cNvPr id="7" name="TextBox 6">
          <a:extLst>
            <a:ext uri="{FF2B5EF4-FFF2-40B4-BE49-F238E27FC236}">
              <a16:creationId xmlns:a16="http://schemas.microsoft.com/office/drawing/2014/main" id="{44D72BEA-83C3-400D-9C40-4765BB5CDFF5}"/>
            </a:ext>
          </a:extLst>
        </xdr:cNvPr>
        <xdr:cNvSpPr txBox="1"/>
      </xdr:nvSpPr>
      <xdr:spPr>
        <a:xfrm>
          <a:off x="9491630" y="457648"/>
          <a:ext cx="1805940" cy="501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AOV</a:t>
          </a:r>
        </a:p>
      </xdr:txBody>
    </xdr:sp>
    <xdr:clientData/>
  </xdr:twoCellAnchor>
  <xdr:twoCellAnchor>
    <xdr:from>
      <xdr:col>9</xdr:col>
      <xdr:colOff>12350</xdr:colOff>
      <xdr:row>2</xdr:row>
      <xdr:rowOff>137160</xdr:rowOff>
    </xdr:from>
    <xdr:to>
      <xdr:col>11</xdr:col>
      <xdr:colOff>599090</xdr:colOff>
      <xdr:row>7</xdr:row>
      <xdr:rowOff>22860</xdr:rowOff>
    </xdr:to>
    <xdr:sp macro="" textlink="Pivot_Tables!P4">
      <xdr:nvSpPr>
        <xdr:cNvPr id="8" name="TextBox 7">
          <a:extLst>
            <a:ext uri="{FF2B5EF4-FFF2-40B4-BE49-F238E27FC236}">
              <a16:creationId xmlns:a16="http://schemas.microsoft.com/office/drawing/2014/main" id="{484789C9-9485-49F5-A93E-B38C1519B224}"/>
            </a:ext>
          </a:extLst>
        </xdr:cNvPr>
        <xdr:cNvSpPr txBox="1"/>
      </xdr:nvSpPr>
      <xdr:spPr>
        <a:xfrm>
          <a:off x="5498750" y="684007"/>
          <a:ext cx="1805940" cy="78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7B35DE-5581-445E-9123-0EE8F7BC989B}" type="TxLink">
            <a:rPr lang="en-US" sz="2000" b="1" i="0" u="none" strike="noStrike">
              <a:solidFill>
                <a:schemeClr val="bg1"/>
              </a:solidFill>
              <a:latin typeface="Calibri"/>
              <a:ea typeface="Calibri"/>
              <a:cs typeface="Calibri"/>
            </a:rPr>
            <a:pPr algn="ctr"/>
            <a:t>AED 12,480.00</a:t>
          </a:fld>
          <a:endParaRPr lang="en-IN" sz="2000" b="1">
            <a:solidFill>
              <a:schemeClr val="bg1"/>
            </a:solidFill>
          </a:endParaRPr>
        </a:p>
      </xdr:txBody>
    </xdr:sp>
    <xdr:clientData/>
  </xdr:twoCellAnchor>
  <xdr:twoCellAnchor>
    <xdr:from>
      <xdr:col>12</xdr:col>
      <xdr:colOff>179990</xdr:colOff>
      <xdr:row>2</xdr:row>
      <xdr:rowOff>137160</xdr:rowOff>
    </xdr:from>
    <xdr:to>
      <xdr:col>15</xdr:col>
      <xdr:colOff>157130</xdr:colOff>
      <xdr:row>7</xdr:row>
      <xdr:rowOff>22860</xdr:rowOff>
    </xdr:to>
    <xdr:sp macro="" textlink="Pivot_Tables!O4">
      <xdr:nvSpPr>
        <xdr:cNvPr id="9" name="TextBox 8">
          <a:extLst>
            <a:ext uri="{FF2B5EF4-FFF2-40B4-BE49-F238E27FC236}">
              <a16:creationId xmlns:a16="http://schemas.microsoft.com/office/drawing/2014/main" id="{9FE289E2-0293-43AA-872F-6B061B951D04}"/>
            </a:ext>
          </a:extLst>
        </xdr:cNvPr>
        <xdr:cNvSpPr txBox="1"/>
      </xdr:nvSpPr>
      <xdr:spPr>
        <a:xfrm>
          <a:off x="7495190" y="684007"/>
          <a:ext cx="1805940" cy="78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A09EF-7B3C-42C2-B36C-346DE7D979CC}" type="TxLink">
            <a:rPr lang="en-US" sz="2000" b="1" i="0" u="none" strike="noStrike">
              <a:solidFill>
                <a:schemeClr val="bg1"/>
              </a:solidFill>
              <a:latin typeface="Calibri"/>
              <a:ea typeface="Calibri"/>
              <a:cs typeface="Calibri"/>
            </a:rPr>
            <a:pPr algn="ctr"/>
            <a:t>501</a:t>
          </a:fld>
          <a:endParaRPr lang="en-IN" sz="2000" b="1">
            <a:solidFill>
              <a:schemeClr val="bg1"/>
            </a:solidFill>
          </a:endParaRPr>
        </a:p>
      </xdr:txBody>
    </xdr:sp>
    <xdr:clientData/>
  </xdr:twoCellAnchor>
  <xdr:twoCellAnchor>
    <xdr:from>
      <xdr:col>15</xdr:col>
      <xdr:colOff>347630</xdr:colOff>
      <xdr:row>2</xdr:row>
      <xdr:rowOff>121920</xdr:rowOff>
    </xdr:from>
    <xdr:to>
      <xdr:col>18</xdr:col>
      <xdr:colOff>324770</xdr:colOff>
      <xdr:row>7</xdr:row>
      <xdr:rowOff>7620</xdr:rowOff>
    </xdr:to>
    <xdr:sp macro="" textlink="Pivot_Tables!P5">
      <xdr:nvSpPr>
        <xdr:cNvPr id="10" name="TextBox 9">
          <a:extLst>
            <a:ext uri="{FF2B5EF4-FFF2-40B4-BE49-F238E27FC236}">
              <a16:creationId xmlns:a16="http://schemas.microsoft.com/office/drawing/2014/main" id="{B945521F-4430-4C2D-8271-FB62A348177F}"/>
            </a:ext>
          </a:extLst>
        </xdr:cNvPr>
        <xdr:cNvSpPr txBox="1"/>
      </xdr:nvSpPr>
      <xdr:spPr>
        <a:xfrm>
          <a:off x="9491630" y="668767"/>
          <a:ext cx="1805940" cy="78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EFBAB0-CF61-4454-A515-7114292CE95F}" type="TxLink">
            <a:rPr lang="en-US" sz="2000" b="1" i="0" u="none" strike="noStrike">
              <a:solidFill>
                <a:schemeClr val="bg1"/>
              </a:solidFill>
              <a:latin typeface="Calibri"/>
              <a:ea typeface="Calibri"/>
              <a:cs typeface="Calibri"/>
            </a:rPr>
            <a:pPr algn="ctr"/>
            <a:t>AED 24.91</a:t>
          </a:fld>
          <a:endParaRPr lang="en-IN" sz="2000" b="1">
            <a:solidFill>
              <a:schemeClr val="bg1"/>
            </a:solidFill>
          </a:endParaRPr>
        </a:p>
      </xdr:txBody>
    </xdr:sp>
    <xdr:clientData/>
  </xdr:twoCellAnchor>
  <xdr:twoCellAnchor>
    <xdr:from>
      <xdr:col>0</xdr:col>
      <xdr:colOff>554465</xdr:colOff>
      <xdr:row>2</xdr:row>
      <xdr:rowOff>0</xdr:rowOff>
    </xdr:from>
    <xdr:to>
      <xdr:col>5</xdr:col>
      <xdr:colOff>242045</xdr:colOff>
      <xdr:row>5</xdr:row>
      <xdr:rowOff>152400</xdr:rowOff>
    </xdr:to>
    <xdr:sp macro="" textlink="">
      <xdr:nvSpPr>
        <xdr:cNvPr id="11" name="TextBox 10">
          <a:extLst>
            <a:ext uri="{FF2B5EF4-FFF2-40B4-BE49-F238E27FC236}">
              <a16:creationId xmlns:a16="http://schemas.microsoft.com/office/drawing/2014/main" id="{F8016571-49CF-5B84-95DD-4A371C96594E}"/>
            </a:ext>
          </a:extLst>
        </xdr:cNvPr>
        <xdr:cNvSpPr txBox="1"/>
      </xdr:nvSpPr>
      <xdr:spPr>
        <a:xfrm>
          <a:off x="554465" y="367553"/>
          <a:ext cx="2735580" cy="69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500" b="1">
              <a:solidFill>
                <a:schemeClr val="bg1"/>
              </a:solidFill>
            </a:rPr>
            <a:t>BEAN &amp; BREW COFFEE SHOP - SALES DASHBOARD</a:t>
          </a:r>
        </a:p>
      </xdr:txBody>
    </xdr:sp>
    <xdr:clientData/>
  </xdr:twoCellAnchor>
  <xdr:twoCellAnchor>
    <xdr:from>
      <xdr:col>1</xdr:col>
      <xdr:colOff>17925</xdr:colOff>
      <xdr:row>17</xdr:row>
      <xdr:rowOff>41002</xdr:rowOff>
    </xdr:from>
    <xdr:to>
      <xdr:col>26</xdr:col>
      <xdr:colOff>295831</xdr:colOff>
      <xdr:row>31</xdr:row>
      <xdr:rowOff>125505</xdr:rowOff>
    </xdr:to>
    <xdr:graphicFrame macro="">
      <xdr:nvGraphicFramePr>
        <xdr:cNvPr id="12" name="Chart 11">
          <a:extLst>
            <a:ext uri="{FF2B5EF4-FFF2-40B4-BE49-F238E27FC236}">
              <a16:creationId xmlns:a16="http://schemas.microsoft.com/office/drawing/2014/main" id="{71B09F89-F4BC-4EA2-ACEB-917B58A14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20884</xdr:colOff>
      <xdr:row>7</xdr:row>
      <xdr:rowOff>122680</xdr:rowOff>
    </xdr:from>
    <xdr:to>
      <xdr:col>8</xdr:col>
      <xdr:colOff>26897</xdr:colOff>
      <xdr:row>16</xdr:row>
      <xdr:rowOff>101098</xdr:rowOff>
    </xdr:to>
    <xdr:graphicFrame macro="">
      <xdr:nvGraphicFramePr>
        <xdr:cNvPr id="13" name="Chart 12">
          <a:extLst>
            <a:ext uri="{FF2B5EF4-FFF2-40B4-BE49-F238E27FC236}">
              <a16:creationId xmlns:a16="http://schemas.microsoft.com/office/drawing/2014/main" id="{508CD2CE-7114-4E4F-9356-F9F7C56D1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304803</xdr:colOff>
      <xdr:row>7</xdr:row>
      <xdr:rowOff>127548</xdr:rowOff>
    </xdr:from>
    <xdr:to>
      <xdr:col>26</xdr:col>
      <xdr:colOff>295835</xdr:colOff>
      <xdr:row>16</xdr:row>
      <xdr:rowOff>101097</xdr:rowOff>
    </xdr:to>
    <xdr:graphicFrame macro="">
      <xdr:nvGraphicFramePr>
        <xdr:cNvPr id="14" name="Chart 13">
          <a:extLst>
            <a:ext uri="{FF2B5EF4-FFF2-40B4-BE49-F238E27FC236}">
              <a16:creationId xmlns:a16="http://schemas.microsoft.com/office/drawing/2014/main" id="{D3F9FD3B-E43E-49B5-8568-D74766B5E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205290</xdr:colOff>
      <xdr:row>7</xdr:row>
      <xdr:rowOff>131331</xdr:rowOff>
    </xdr:from>
    <xdr:to>
      <xdr:col>10</xdr:col>
      <xdr:colOff>439273</xdr:colOff>
      <xdr:row>16</xdr:row>
      <xdr:rowOff>89647</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A4D098E9-B83F-314A-6EDD-7CCFA38BB8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82090" y="1395355"/>
              <a:ext cx="1453183" cy="1571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536978</xdr:colOff>
      <xdr:row>7</xdr:row>
      <xdr:rowOff>131334</xdr:rowOff>
    </xdr:from>
    <xdr:to>
      <xdr:col>13</xdr:col>
      <xdr:colOff>161357</xdr:colOff>
      <xdr:row>16</xdr:row>
      <xdr:rowOff>89647</xdr:rowOff>
    </xdr:to>
    <mc:AlternateContent xmlns:mc="http://schemas.openxmlformats.org/markup-compatibility/2006" xmlns:a14="http://schemas.microsoft.com/office/drawing/2010/main">
      <mc:Choice Requires="a14">
        <xdr:graphicFrame macro="">
          <xdr:nvGraphicFramePr>
            <xdr:cNvPr id="16" name="Payment_Method">
              <a:extLst>
                <a:ext uri="{FF2B5EF4-FFF2-40B4-BE49-F238E27FC236}">
                  <a16:creationId xmlns:a16="http://schemas.microsoft.com/office/drawing/2014/main" id="{73793D4D-9CFD-B3F6-C97B-1788F33AF52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632978" y="1395358"/>
              <a:ext cx="1453179" cy="157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259071</xdr:colOff>
      <xdr:row>7</xdr:row>
      <xdr:rowOff>131333</xdr:rowOff>
    </xdr:from>
    <xdr:to>
      <xdr:col>15</xdr:col>
      <xdr:colOff>475118</xdr:colOff>
      <xdr:row>16</xdr:row>
      <xdr:rowOff>89647</xdr:rowOff>
    </xdr:to>
    <mc:AlternateContent xmlns:mc="http://schemas.openxmlformats.org/markup-compatibility/2006" xmlns:a14="http://schemas.microsoft.com/office/drawing/2010/main">
      <mc:Choice Requires="a14">
        <xdr:graphicFrame macro="">
          <xdr:nvGraphicFramePr>
            <xdr:cNvPr id="17" name="Day_of_Week">
              <a:extLst>
                <a:ext uri="{FF2B5EF4-FFF2-40B4-BE49-F238E27FC236}">
                  <a16:creationId xmlns:a16="http://schemas.microsoft.com/office/drawing/2014/main" id="{88E91564-A3CA-958C-22FC-197B22D3B619}"/>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mlns="">
        <xdr:sp macro="" textlink="">
          <xdr:nvSpPr>
            <xdr:cNvPr id="0" name=""/>
            <xdr:cNvSpPr>
              <a:spLocks noTextEdit="1"/>
            </xdr:cNvSpPr>
          </xdr:nvSpPr>
          <xdr:spPr>
            <a:xfrm>
              <a:off x="8183871" y="1395357"/>
              <a:ext cx="1435247" cy="1571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562536</xdr:colOff>
      <xdr:row>7</xdr:row>
      <xdr:rowOff>116541</xdr:rowOff>
    </xdr:from>
    <xdr:to>
      <xdr:col>19</xdr:col>
      <xdr:colOff>170328</xdr:colOff>
      <xdr:row>16</xdr:row>
      <xdr:rowOff>89647</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9ED91AD4-B9A4-E41E-E6EC-9B87D5A8927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706536" y="1380565"/>
              <a:ext cx="2046192" cy="15867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fire Asus A15" refreshedDate="46084.396358564816" backgroundQuery="1" createdVersion="8" refreshedVersion="8" minRefreshableVersion="3" recordCount="0" supportSubquery="1" supportAdvancedDrill="1" xr:uid="{DC8285E3-488B-4268-96CD-56C49C4C1C5F}">
  <cacheSource type="external" connectionId="6"/>
  <cacheFields count="3">
    <cacheField name="[Bean_and_Brew_Data_Cleaned].[Date].[Date]" caption="Date" numFmtId="0" hierarchy="1" level="1">
      <sharedItems containsSemiMixedTypes="0" containsNonDate="0" containsDate="1" containsString="0" minDate="2025-01-01T00:00:00" maxDate="2025-04-01T00:00:00" count="9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sharedItems>
    </cacheField>
    <cacheField name="[Measures].[Count of Transaction_ID]" caption="Count of Transaction_ID" numFmtId="0" hierarchy="13" level="32767"/>
    <cacheField name="[Measures].[Sum of Total_Amount_AED]" caption="Sum of Total_Amount_AED" numFmtId="0" hierarchy="14" level="32767"/>
  </cacheFields>
  <cacheHierarchies count="16">
    <cacheHierarchy uniqueName="[Bean_and_Brew_Data_Cleaned].[Transaction_ID]" caption="Transaction_ID" attribute="1" defaultMemberUniqueName="[Bean_and_Brew_Data_Cleaned].[Transaction_ID].[All]" allUniqueName="[Bean_and_Brew_Data_Cleaned].[Transaction_ID].[All]" dimensionUniqueName="[Bean_and_Brew_Data_Cleaned]" displayFolder="" count="2" memberValueDatatype="20" unbalanced="0"/>
    <cacheHierarchy uniqueName="[Bean_and_Brew_Data_Cleaned].[Date]" caption="Date" attribute="1" time="1" defaultMemberUniqueName="[Bean_and_Brew_Data_Cleaned].[Date].[All]" allUniqueName="[Bean_and_Brew_Data_Cleaned].[Date].[All]" dimensionUniqueName="[Bean_and_Brew_Data_Cleaned]" displayFolder="" count="2" memberValueDatatype="7" unbalanced="0">
      <fieldsUsage count="2">
        <fieldUsage x="-1"/>
        <fieldUsage x="0"/>
      </fieldsUsage>
    </cacheHierarchy>
    <cacheHierarchy uniqueName="[Bean_and_Brew_Data_Cleaned].[Month_Name]" caption="Month_Name" attribute="1" defaultMemberUniqueName="[Bean_and_Brew_Data_Cleaned].[Month_Name].[All]" allUniqueName="[Bean_and_Brew_Data_Cleaned].[Month_Name].[All]" dimensionUniqueName="[Bean_and_Brew_Data_Cleaned]" displayFolder="" count="2" memberValueDatatype="130" unbalanced="0"/>
    <cacheHierarchy uniqueName="[Bean_and_Brew_Data_Cleaned].[Time]" caption="Time" attribute="1" defaultMemberUniqueName="[Bean_and_Brew_Data_Cleaned].[Time].[All]" allUniqueName="[Bean_and_Brew_Data_Cleaned].[Time].[All]" dimensionUniqueName="[Bean_and_Brew_Data_Cleaned]" displayFolder="" count="2" memberValueDatatype="20" unbalanced="0"/>
    <cacheHierarchy uniqueName="[Bean_and_Brew_Data_Cleaned].[Day_of_Week]" caption="Day_of_Week" attribute="1" defaultMemberUniqueName="[Bean_and_Brew_Data_Cleaned].[Day_of_Week].[All]" allUniqueName="[Bean_and_Brew_Data_Cleaned].[Day_of_Week].[All]" dimensionUniqueName="[Bean_and_Brew_Data_Cleaned]" displayFolder="" count="2" memberValueDatatype="130" unbalanced="0"/>
    <cacheHierarchy uniqueName="[Bean_and_Brew_Data_Cleaned].[Product]" caption="Product" attribute="1" defaultMemberUniqueName="[Bean_and_Brew_Data_Cleaned].[Product].[All]" allUniqueName="[Bean_and_Brew_Data_Cleaned].[Product].[All]" dimensionUniqueName="[Bean_and_Brew_Data_Cleaned]" displayFolder="" count="2" memberValueDatatype="130" unbalanced="0"/>
    <cacheHierarchy uniqueName="[Bean_and_Brew_Data_Cleaned].[Quantity]" caption="Quantity" attribute="1" defaultMemberUniqueName="[Bean_and_Brew_Data_Cleaned].[Quantity].[All]" allUniqueName="[Bean_and_Brew_Data_Cleaned].[Quantity].[All]" dimensionUniqueName="[Bean_and_Brew_Data_Cleaned]" displayFolder="" count="2" memberValueDatatype="20" unbalanced="0"/>
    <cacheHierarchy uniqueName="[Bean_and_Brew_Data_Cleaned].[Unit_Price_AED]" caption="Unit_Price_AED" attribute="1" defaultMemberUniqueName="[Bean_and_Brew_Data_Cleaned].[Unit_Price_AED].[All]" allUniqueName="[Bean_and_Brew_Data_Cleaned].[Unit_Price_AED].[All]" dimensionUniqueName="[Bean_and_Brew_Data_Cleaned]" displayFolder="" count="2" memberValueDatatype="20" unbalanced="0"/>
    <cacheHierarchy uniqueName="[Bean_and_Brew_Data_Cleaned].[Total_Amount_AED]" caption="Total_Amount_AED" attribute="1" defaultMemberUniqueName="[Bean_and_Brew_Data_Cleaned].[Total_Amount_AED].[All]" allUniqueName="[Bean_and_Brew_Data_Cleaned].[Total_Amount_AED].[All]" dimensionUniqueName="[Bean_and_Brew_Data_Cleaned]" displayFolder="" count="2" memberValueDatatype="20" unbalanced="0"/>
    <cacheHierarchy uniqueName="[Bean_and_Brew_Data_Cleaned].[Payment_Method]" caption="Payment_Method" attribute="1" defaultMemberUniqueName="[Bean_and_Brew_Data_Cleaned].[Payment_Method].[All]" allUniqueName="[Bean_and_Brew_Data_Cleaned].[Payment_Method].[All]" dimensionUniqueName="[Bean_and_Brew_Data_Cleaned]" displayFolder="" count="2" memberValueDatatype="130" unbalanced="0"/>
    <cacheHierarchy uniqueName="[Measures].[__XL_Count Bean_and_Brew_Data_Cleaned]" caption="__XL_Count Bean_and_Brew_Data_Cleaned" measure="1" displayFolder="" measureGroup="Bean_and_Brew_Data_Cleaned" count="0" hidden="1"/>
    <cacheHierarchy uniqueName="[Measures].[__No measures defined]" caption="__No measures defined" measure="1" displayFolder="" count="0" hidden="1"/>
    <cacheHierarchy uniqueName="[Measures].[Sum of Transaction_ID]" caption="Sum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ean_and_Brew_Data_Cleaned"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Amount_AED]" caption="Sum of Total_Amount_AED" measure="1" displayFolder="" measureGroup="Bean_and_Brew_Data_Cleaned" count="0" oneField="1" hidden="1">
      <fieldsUsage count="1">
        <fieldUsage x="2"/>
      </fieldsUsage>
      <extLst>
        <ext xmlns:x15="http://schemas.microsoft.com/office/spreadsheetml/2010/11/main" uri="{B97F6D7D-B522-45F9-BDA1-12C45D357490}">
          <x15:cacheHierarchy aggregatedColumn="8"/>
        </ext>
      </extLst>
    </cacheHierarchy>
    <cacheHierarchy uniqueName="[Measures].[Average of Total_Amount_AED]" caption="Average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ies>
  <kpis count="0"/>
  <dimensions count="2">
    <dimension name="Bean_and_Brew_Data_Cleaned" uniqueName="[Bean_and_Brew_Data_Cleaned]" caption="Bean_and_Brew_Data_Cleaned"/>
    <dimension measure="1" name="Measures" uniqueName="[Measures]" caption="Measures"/>
  </dimensions>
  <measureGroups count="1">
    <measureGroup name="Bean_and_Brew_Data_Cleaned" caption="Bean_and_Brew_Data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fire Asus A15" refreshedDate="46084.396359027778" backgroundQuery="1" createdVersion="8" refreshedVersion="8" minRefreshableVersion="3" recordCount="0" supportSubquery="1" supportAdvancedDrill="1" xr:uid="{C87B4E9D-B5E6-4493-BD0F-6CAD8F2E6F58}">
  <cacheSource type="external" connectionId="6"/>
  <cacheFields count="3">
    <cacheField name="[Bean_and_Brew_Data_Cleaned].[Product].[Product]" caption="Product" numFmtId="0" hierarchy="5" level="1">
      <sharedItems count="5">
        <s v="Cappuccino"/>
        <s v="Espresso"/>
        <s v="Latte"/>
        <s v="Pastry"/>
        <s v="Sandwich"/>
      </sharedItems>
    </cacheField>
    <cacheField name="[Measures].[Sum of Total_Amount_AED]" caption="Sum of Total_Amount_AED" numFmtId="0" hierarchy="14" level="32767"/>
    <cacheField name="[Bean_and_Brew_Data_Cleaned].[Date].[Date]" caption="Date" numFmtId="0" hierarchy="1" level="1">
      <sharedItems containsSemiMixedTypes="0" containsNonDate="0" containsString="0"/>
    </cacheField>
  </cacheFields>
  <cacheHierarchies count="16">
    <cacheHierarchy uniqueName="[Bean_and_Brew_Data_Cleaned].[Transaction_ID]" caption="Transaction_ID" attribute="1" defaultMemberUniqueName="[Bean_and_Brew_Data_Cleaned].[Transaction_ID].[All]" allUniqueName="[Bean_and_Brew_Data_Cleaned].[Transaction_ID].[All]" dimensionUniqueName="[Bean_and_Brew_Data_Cleaned]" displayFolder="" count="0" memberValueDatatype="20" unbalanced="0"/>
    <cacheHierarchy uniqueName="[Bean_and_Brew_Data_Cleaned].[Date]" caption="Date" attribute="1" time="1" defaultMemberUniqueName="[Bean_and_Brew_Data_Cleaned].[Date].[All]" allUniqueName="[Bean_and_Brew_Data_Cleaned].[Date].[All]" dimensionUniqueName="[Bean_and_Brew_Data_Cleaned]" displayFolder="" count="2" memberValueDatatype="7" unbalanced="0">
      <fieldsUsage count="2">
        <fieldUsage x="-1"/>
        <fieldUsage x="2"/>
      </fieldsUsage>
    </cacheHierarchy>
    <cacheHierarchy uniqueName="[Bean_and_Brew_Data_Cleaned].[Month_Name]" caption="Month_Name" attribute="1" defaultMemberUniqueName="[Bean_and_Brew_Data_Cleaned].[Month_Name].[All]" allUniqueName="[Bean_and_Brew_Data_Cleaned].[Month_Name].[All]" dimensionUniqueName="[Bean_and_Brew_Data_Cleaned]" displayFolder="" count="0" memberValueDatatype="130" unbalanced="0"/>
    <cacheHierarchy uniqueName="[Bean_and_Brew_Data_Cleaned].[Time]" caption="Time" attribute="1" defaultMemberUniqueName="[Bean_and_Brew_Data_Cleaned].[Time].[All]" allUniqueName="[Bean_and_Brew_Data_Cleaned].[Time].[All]" dimensionUniqueName="[Bean_and_Brew_Data_Cleaned]" displayFolder="" count="0" memberValueDatatype="20" unbalanced="0"/>
    <cacheHierarchy uniqueName="[Bean_and_Brew_Data_Cleaned].[Day_of_Week]" caption="Day_of_Week" attribute="1" defaultMemberUniqueName="[Bean_and_Brew_Data_Cleaned].[Day_of_Week].[All]" allUniqueName="[Bean_and_Brew_Data_Cleaned].[Day_of_Week].[All]" dimensionUniqueName="[Bean_and_Brew_Data_Cleaned]" displayFolder="" count="2" memberValueDatatype="130" unbalanced="0"/>
    <cacheHierarchy uniqueName="[Bean_and_Brew_Data_Cleaned].[Product]" caption="Product" attribute="1" defaultMemberUniqueName="[Bean_and_Brew_Data_Cleaned].[Product].[All]" allUniqueName="[Bean_and_Brew_Data_Cleaned].[Product].[All]" dimensionUniqueName="[Bean_and_Brew_Data_Cleaned]" displayFolder="" count="2" memberValueDatatype="130" unbalanced="0">
      <fieldsUsage count="2">
        <fieldUsage x="-1"/>
        <fieldUsage x="0"/>
      </fieldsUsage>
    </cacheHierarchy>
    <cacheHierarchy uniqueName="[Bean_and_Brew_Data_Cleaned].[Quantity]" caption="Quantity" attribute="1" defaultMemberUniqueName="[Bean_and_Brew_Data_Cleaned].[Quantity].[All]" allUniqueName="[Bean_and_Brew_Data_Cleaned].[Quantity].[All]" dimensionUniqueName="[Bean_and_Brew_Data_Cleaned]" displayFolder="" count="0" memberValueDatatype="20" unbalanced="0"/>
    <cacheHierarchy uniqueName="[Bean_and_Brew_Data_Cleaned].[Unit_Price_AED]" caption="Unit_Price_AED" attribute="1" defaultMemberUniqueName="[Bean_and_Brew_Data_Cleaned].[Unit_Price_AED].[All]" allUniqueName="[Bean_and_Brew_Data_Cleaned].[Unit_Price_AED].[All]" dimensionUniqueName="[Bean_and_Brew_Data_Cleaned]" displayFolder="" count="0" memberValueDatatype="20" unbalanced="0"/>
    <cacheHierarchy uniqueName="[Bean_and_Brew_Data_Cleaned].[Total_Amount_AED]" caption="Total_Amount_AED" attribute="1" defaultMemberUniqueName="[Bean_and_Brew_Data_Cleaned].[Total_Amount_AED].[All]" allUniqueName="[Bean_and_Brew_Data_Cleaned].[Total_Amount_AED].[All]" dimensionUniqueName="[Bean_and_Brew_Data_Cleaned]" displayFolder="" count="0" memberValueDatatype="20" unbalanced="0"/>
    <cacheHierarchy uniqueName="[Bean_and_Brew_Data_Cleaned].[Payment_Method]" caption="Payment_Method" attribute="1" defaultMemberUniqueName="[Bean_and_Brew_Data_Cleaned].[Payment_Method].[All]" allUniqueName="[Bean_and_Brew_Data_Cleaned].[Payment_Method].[All]" dimensionUniqueName="[Bean_and_Brew_Data_Cleaned]" displayFolder="" count="2" memberValueDatatype="130" unbalanced="0"/>
    <cacheHierarchy uniqueName="[Measures].[__XL_Count Bean_and_Brew_Data_Cleaned]" caption="__XL_Count Bean_and_Brew_Data_Cleaned" measure="1" displayFolder="" measureGroup="Bean_and_Brew_Data_Cleaned" count="0" hidden="1"/>
    <cacheHierarchy uniqueName="[Measures].[__No measures defined]" caption="__No measures defined" measure="1" displayFolder="" count="0" hidden="1"/>
    <cacheHierarchy uniqueName="[Measures].[Sum of Transaction_ID]" caption="Sum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Sum of Total_Amount_AED]" caption="Sum of Total_Amount_AED" measure="1" displayFolder="" measureGroup="Bean_and_Brew_Data_Cleaned"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Total_Amount_AED]" caption="Average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ies>
  <kpis count="0"/>
  <dimensions count="2">
    <dimension name="Bean_and_Brew_Data_Cleaned" uniqueName="[Bean_and_Brew_Data_Cleaned]" caption="Bean_and_Brew_Data_Cleaned"/>
    <dimension measure="1" name="Measures" uniqueName="[Measures]" caption="Measures"/>
  </dimensions>
  <measureGroups count="1">
    <measureGroup name="Bean_and_Brew_Data_Cleaned" caption="Bean_and_Brew_Data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fire Asus A15" refreshedDate="46084.396359375001" backgroundQuery="1" createdVersion="8" refreshedVersion="8" minRefreshableVersion="3" recordCount="0" supportSubquery="1" supportAdvancedDrill="1" xr:uid="{612EA67C-72F8-4BC2-B4D1-895C3B040EB4}">
  <cacheSource type="external" connectionId="6"/>
  <cacheFields count="3">
    <cacheField name="[Bean_and_Brew_Data_Cleaned].[Time].[Time]" caption="Time" numFmtId="0" hierarchy="3" level="1">
      <sharedItems containsSemiMixedTypes="0" containsString="0" containsNumber="1" containsInteger="1" minValue="7" maxValue="19" count="13">
        <n v="7"/>
        <n v="8"/>
        <n v="9"/>
        <n v="10"/>
        <n v="11"/>
        <n v="12"/>
        <n v="13"/>
        <n v="14"/>
        <n v="15"/>
        <n v="16"/>
        <n v="17"/>
        <n v="18"/>
        <n v="19"/>
      </sharedItems>
      <extLst>
        <ext xmlns:x15="http://schemas.microsoft.com/office/spreadsheetml/2010/11/main" uri="{4F2E5C28-24EA-4eb8-9CBF-B6C8F9C3D259}">
          <x15:cachedUniqueNames>
            <x15:cachedUniqueName index="0" name="[Bean_and_Brew_Data_Cleaned].[Time].&amp;[7]"/>
            <x15:cachedUniqueName index="1" name="[Bean_and_Brew_Data_Cleaned].[Time].&amp;[8]"/>
            <x15:cachedUniqueName index="2" name="[Bean_and_Brew_Data_Cleaned].[Time].&amp;[9]"/>
            <x15:cachedUniqueName index="3" name="[Bean_and_Brew_Data_Cleaned].[Time].&amp;[10]"/>
            <x15:cachedUniqueName index="4" name="[Bean_and_Brew_Data_Cleaned].[Time].&amp;[11]"/>
            <x15:cachedUniqueName index="5" name="[Bean_and_Brew_Data_Cleaned].[Time].&amp;[12]"/>
            <x15:cachedUniqueName index="6" name="[Bean_and_Brew_Data_Cleaned].[Time].&amp;[13]"/>
            <x15:cachedUniqueName index="7" name="[Bean_and_Brew_Data_Cleaned].[Time].&amp;[14]"/>
            <x15:cachedUniqueName index="8" name="[Bean_and_Brew_Data_Cleaned].[Time].&amp;[15]"/>
            <x15:cachedUniqueName index="9" name="[Bean_and_Brew_Data_Cleaned].[Time].&amp;[16]"/>
            <x15:cachedUniqueName index="10" name="[Bean_and_Brew_Data_Cleaned].[Time].&amp;[17]"/>
            <x15:cachedUniqueName index="11" name="[Bean_and_Brew_Data_Cleaned].[Time].&amp;[18]"/>
            <x15:cachedUniqueName index="12" name="[Bean_and_Brew_Data_Cleaned].[Time].&amp;[19]"/>
          </x15:cachedUniqueNames>
        </ext>
      </extLst>
    </cacheField>
    <cacheField name="[Measures].[Count of Transaction_ID]" caption="Count of Transaction_ID" numFmtId="0" hierarchy="13" level="32767"/>
    <cacheField name="[Bean_and_Brew_Data_Cleaned].[Date].[Date]" caption="Date" numFmtId="0" hierarchy="1" level="1">
      <sharedItems containsSemiMixedTypes="0" containsNonDate="0" containsString="0"/>
    </cacheField>
  </cacheFields>
  <cacheHierarchies count="16">
    <cacheHierarchy uniqueName="[Bean_and_Brew_Data_Cleaned].[Transaction_ID]" caption="Transaction_ID" attribute="1" defaultMemberUniqueName="[Bean_and_Brew_Data_Cleaned].[Transaction_ID].[All]" allUniqueName="[Bean_and_Brew_Data_Cleaned].[Transaction_ID].[All]" dimensionUniqueName="[Bean_and_Brew_Data_Cleaned]" displayFolder="" count="0" memberValueDatatype="20" unbalanced="0"/>
    <cacheHierarchy uniqueName="[Bean_and_Brew_Data_Cleaned].[Date]" caption="Date" attribute="1" time="1" defaultMemberUniqueName="[Bean_and_Brew_Data_Cleaned].[Date].[All]" allUniqueName="[Bean_and_Brew_Data_Cleaned].[Date].[All]" dimensionUniqueName="[Bean_and_Brew_Data_Cleaned]" displayFolder="" count="2" memberValueDatatype="7" unbalanced="0">
      <fieldsUsage count="2">
        <fieldUsage x="-1"/>
        <fieldUsage x="2"/>
      </fieldsUsage>
    </cacheHierarchy>
    <cacheHierarchy uniqueName="[Bean_and_Brew_Data_Cleaned].[Month_Name]" caption="Month_Name" attribute="1" defaultMemberUniqueName="[Bean_and_Brew_Data_Cleaned].[Month_Name].[All]" allUniqueName="[Bean_and_Brew_Data_Cleaned].[Month_Name].[All]" dimensionUniqueName="[Bean_and_Brew_Data_Cleaned]" displayFolder="" count="0" memberValueDatatype="130" unbalanced="0"/>
    <cacheHierarchy uniqueName="[Bean_and_Brew_Data_Cleaned].[Time]" caption="Time" attribute="1" defaultMemberUniqueName="[Bean_and_Brew_Data_Cleaned].[Time].[All]" allUniqueName="[Bean_and_Brew_Data_Cleaned].[Time].[All]" dimensionUniqueName="[Bean_and_Brew_Data_Cleaned]" displayFolder="" count="2" memberValueDatatype="20" unbalanced="0">
      <fieldsUsage count="2">
        <fieldUsage x="-1"/>
        <fieldUsage x="0"/>
      </fieldsUsage>
    </cacheHierarchy>
    <cacheHierarchy uniqueName="[Bean_and_Brew_Data_Cleaned].[Day_of_Week]" caption="Day_of_Week" attribute="1" defaultMemberUniqueName="[Bean_and_Brew_Data_Cleaned].[Day_of_Week].[All]" allUniqueName="[Bean_and_Brew_Data_Cleaned].[Day_of_Week].[All]" dimensionUniqueName="[Bean_and_Brew_Data_Cleaned]" displayFolder="" count="2" memberValueDatatype="130" unbalanced="0"/>
    <cacheHierarchy uniqueName="[Bean_and_Brew_Data_Cleaned].[Product]" caption="Product" attribute="1" defaultMemberUniqueName="[Bean_and_Brew_Data_Cleaned].[Product].[All]" allUniqueName="[Bean_and_Brew_Data_Cleaned].[Product].[All]" dimensionUniqueName="[Bean_and_Brew_Data_Cleaned]" displayFolder="" count="2" memberValueDatatype="130" unbalanced="0"/>
    <cacheHierarchy uniqueName="[Bean_and_Brew_Data_Cleaned].[Quantity]" caption="Quantity" attribute="1" defaultMemberUniqueName="[Bean_and_Brew_Data_Cleaned].[Quantity].[All]" allUniqueName="[Bean_and_Brew_Data_Cleaned].[Quantity].[All]" dimensionUniqueName="[Bean_and_Brew_Data_Cleaned]" displayFolder="" count="0" memberValueDatatype="20" unbalanced="0"/>
    <cacheHierarchy uniqueName="[Bean_and_Brew_Data_Cleaned].[Unit_Price_AED]" caption="Unit_Price_AED" attribute="1" defaultMemberUniqueName="[Bean_and_Brew_Data_Cleaned].[Unit_Price_AED].[All]" allUniqueName="[Bean_and_Brew_Data_Cleaned].[Unit_Price_AED].[All]" dimensionUniqueName="[Bean_and_Brew_Data_Cleaned]" displayFolder="" count="0" memberValueDatatype="20" unbalanced="0"/>
    <cacheHierarchy uniqueName="[Bean_and_Brew_Data_Cleaned].[Total_Amount_AED]" caption="Total_Amount_AED" attribute="1" defaultMemberUniqueName="[Bean_and_Brew_Data_Cleaned].[Total_Amount_AED].[All]" allUniqueName="[Bean_and_Brew_Data_Cleaned].[Total_Amount_AED].[All]" dimensionUniqueName="[Bean_and_Brew_Data_Cleaned]" displayFolder="" count="0" memberValueDatatype="20" unbalanced="0"/>
    <cacheHierarchy uniqueName="[Bean_and_Brew_Data_Cleaned].[Payment_Method]" caption="Payment_Method" attribute="1" defaultMemberUniqueName="[Bean_and_Brew_Data_Cleaned].[Payment_Method].[All]" allUniqueName="[Bean_and_Brew_Data_Cleaned].[Payment_Method].[All]" dimensionUniqueName="[Bean_and_Brew_Data_Cleaned]" displayFolder="" count="2" memberValueDatatype="130" unbalanced="0"/>
    <cacheHierarchy uniqueName="[Measures].[__XL_Count Bean_and_Brew_Data_Cleaned]" caption="__XL_Count Bean_and_Brew_Data_Cleaned" measure="1" displayFolder="" measureGroup="Bean_and_Brew_Data_Cleaned" count="0" hidden="1"/>
    <cacheHierarchy uniqueName="[Measures].[__No measures defined]" caption="__No measures defined" measure="1" displayFolder="" count="0" hidden="1"/>
    <cacheHierarchy uniqueName="[Measures].[Sum of Transaction_ID]" caption="Sum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ean_and_Brew_Data_Cleaned"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Amount_AED]" caption="Sum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y uniqueName="[Measures].[Average of Total_Amount_AED]" caption="Average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ies>
  <kpis count="0"/>
  <dimensions count="2">
    <dimension name="Bean_and_Brew_Data_Cleaned" uniqueName="[Bean_and_Brew_Data_Cleaned]" caption="Bean_and_Brew_Data_Cleaned"/>
    <dimension measure="1" name="Measures" uniqueName="[Measures]" caption="Measures"/>
  </dimensions>
  <measureGroups count="1">
    <measureGroup name="Bean_and_Brew_Data_Cleaned" caption="Bean_and_Brew_Data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fire Asus A15" refreshedDate="46084.396359837963" backgroundQuery="1" createdVersion="8" refreshedVersion="8" minRefreshableVersion="3" recordCount="0" supportSubquery="1" supportAdvancedDrill="1" xr:uid="{D923389C-FB10-4511-873E-4D691B56761B}">
  <cacheSource type="external" connectionId="6"/>
  <cacheFields count="4">
    <cacheField name="[Bean_and_Brew_Data_Cleaned].[Payment_Method].[Payment_Method]" caption="Payment_Method" numFmtId="0" hierarchy="9" level="1">
      <sharedItems count="4">
        <s v="Card"/>
        <s v="Cash"/>
        <s v="Digital Wallet"/>
        <s v="Unknown"/>
      </sharedItems>
    </cacheField>
    <cacheField name="[Measures].[Sum of Total_Amount_AED]" caption="Sum of Total_Amount_AED" numFmtId="0" hierarchy="14" level="32767"/>
    <cacheField name="[Measures].[Count of Transaction_ID]" caption="Count of Transaction_ID" numFmtId="0" hierarchy="13" level="32767"/>
    <cacheField name="[Bean_and_Brew_Data_Cleaned].[Date].[Date]" caption="Date" numFmtId="0" hierarchy="1" level="1">
      <sharedItems containsSemiMixedTypes="0" containsNonDate="0" containsString="0"/>
    </cacheField>
  </cacheFields>
  <cacheHierarchies count="16">
    <cacheHierarchy uniqueName="[Bean_and_Brew_Data_Cleaned].[Transaction_ID]" caption="Transaction_ID" attribute="1" defaultMemberUniqueName="[Bean_and_Brew_Data_Cleaned].[Transaction_ID].[All]" allUniqueName="[Bean_and_Brew_Data_Cleaned].[Transaction_ID].[All]" dimensionUniqueName="[Bean_and_Brew_Data_Cleaned]" displayFolder="" count="0" memberValueDatatype="20" unbalanced="0"/>
    <cacheHierarchy uniqueName="[Bean_and_Brew_Data_Cleaned].[Date]" caption="Date" attribute="1" time="1" defaultMemberUniqueName="[Bean_and_Brew_Data_Cleaned].[Date].[All]" allUniqueName="[Bean_and_Brew_Data_Cleaned].[Date].[All]" dimensionUniqueName="[Bean_and_Brew_Data_Cleaned]" displayFolder="" count="2" memberValueDatatype="7" unbalanced="0">
      <fieldsUsage count="2">
        <fieldUsage x="-1"/>
        <fieldUsage x="3"/>
      </fieldsUsage>
    </cacheHierarchy>
    <cacheHierarchy uniqueName="[Bean_and_Brew_Data_Cleaned].[Month_Name]" caption="Month_Name" attribute="1" defaultMemberUniqueName="[Bean_and_Brew_Data_Cleaned].[Month_Name].[All]" allUniqueName="[Bean_and_Brew_Data_Cleaned].[Month_Name].[All]" dimensionUniqueName="[Bean_and_Brew_Data_Cleaned]" displayFolder="" count="0" memberValueDatatype="130" unbalanced="0"/>
    <cacheHierarchy uniqueName="[Bean_and_Brew_Data_Cleaned].[Time]" caption="Time" attribute="1" defaultMemberUniqueName="[Bean_and_Brew_Data_Cleaned].[Time].[All]" allUniqueName="[Bean_and_Brew_Data_Cleaned].[Time].[All]" dimensionUniqueName="[Bean_and_Brew_Data_Cleaned]" displayFolder="" count="0" memberValueDatatype="20" unbalanced="0"/>
    <cacheHierarchy uniqueName="[Bean_and_Brew_Data_Cleaned].[Day_of_Week]" caption="Day_of_Week" attribute="1" defaultMemberUniqueName="[Bean_and_Brew_Data_Cleaned].[Day_of_Week].[All]" allUniqueName="[Bean_and_Brew_Data_Cleaned].[Day_of_Week].[All]" dimensionUniqueName="[Bean_and_Brew_Data_Cleaned]" displayFolder="" count="2" memberValueDatatype="130" unbalanced="0"/>
    <cacheHierarchy uniqueName="[Bean_and_Brew_Data_Cleaned].[Product]" caption="Product" attribute="1" defaultMemberUniqueName="[Bean_and_Brew_Data_Cleaned].[Product].[All]" allUniqueName="[Bean_and_Brew_Data_Cleaned].[Product].[All]" dimensionUniqueName="[Bean_and_Brew_Data_Cleaned]" displayFolder="" count="2" memberValueDatatype="130" unbalanced="0"/>
    <cacheHierarchy uniqueName="[Bean_and_Brew_Data_Cleaned].[Quantity]" caption="Quantity" attribute="1" defaultMemberUniqueName="[Bean_and_Brew_Data_Cleaned].[Quantity].[All]" allUniqueName="[Bean_and_Brew_Data_Cleaned].[Quantity].[All]" dimensionUniqueName="[Bean_and_Brew_Data_Cleaned]" displayFolder="" count="0" memberValueDatatype="20" unbalanced="0"/>
    <cacheHierarchy uniqueName="[Bean_and_Brew_Data_Cleaned].[Unit_Price_AED]" caption="Unit_Price_AED" attribute="1" defaultMemberUniqueName="[Bean_and_Brew_Data_Cleaned].[Unit_Price_AED].[All]" allUniqueName="[Bean_and_Brew_Data_Cleaned].[Unit_Price_AED].[All]" dimensionUniqueName="[Bean_and_Brew_Data_Cleaned]" displayFolder="" count="0" memberValueDatatype="20" unbalanced="0"/>
    <cacheHierarchy uniqueName="[Bean_and_Brew_Data_Cleaned].[Total_Amount_AED]" caption="Total_Amount_AED" attribute="1" defaultMemberUniqueName="[Bean_and_Brew_Data_Cleaned].[Total_Amount_AED].[All]" allUniqueName="[Bean_and_Brew_Data_Cleaned].[Total_Amount_AED].[All]" dimensionUniqueName="[Bean_and_Brew_Data_Cleaned]" displayFolder="" count="0" memberValueDatatype="20" unbalanced="0"/>
    <cacheHierarchy uniqueName="[Bean_and_Brew_Data_Cleaned].[Payment_Method]" caption="Payment_Method" attribute="1" defaultMemberUniqueName="[Bean_and_Brew_Data_Cleaned].[Payment_Method].[All]" allUniqueName="[Bean_and_Brew_Data_Cleaned].[Payment_Method].[All]" dimensionUniqueName="[Bean_and_Brew_Data_Cleaned]" displayFolder="" count="2" memberValueDatatype="130" unbalanced="0">
      <fieldsUsage count="2">
        <fieldUsage x="-1"/>
        <fieldUsage x="0"/>
      </fieldsUsage>
    </cacheHierarchy>
    <cacheHierarchy uniqueName="[Measures].[__XL_Count Bean_and_Brew_Data_Cleaned]" caption="__XL_Count Bean_and_Brew_Data_Cleaned" measure="1" displayFolder="" measureGroup="Bean_and_Brew_Data_Cleaned" count="0" hidden="1"/>
    <cacheHierarchy uniqueName="[Measures].[__No measures defined]" caption="__No measures defined" measure="1" displayFolder="" count="0" hidden="1"/>
    <cacheHierarchy uniqueName="[Measures].[Sum of Transaction_ID]" caption="Sum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ean_and_Brew_Data_Cleaned"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_Amount_AED]" caption="Sum of Total_Amount_AED" measure="1" displayFolder="" measureGroup="Bean_and_Brew_Data_Cleaned"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Total_Amount_AED]" caption="Average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ies>
  <kpis count="0"/>
  <dimensions count="2">
    <dimension name="Bean_and_Brew_Data_Cleaned" uniqueName="[Bean_and_Brew_Data_Cleaned]" caption="Bean_and_Brew_Data_Cleaned"/>
    <dimension measure="1" name="Measures" uniqueName="[Measures]" caption="Measures"/>
  </dimensions>
  <measureGroups count="1">
    <measureGroup name="Bean_and_Brew_Data_Cleaned" caption="Bean_and_Brew_Data_Cleane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fire Asus A15" refreshedDate="46083.986322453704" backgroundQuery="1" createdVersion="3" refreshedVersion="8" minRefreshableVersion="3" recordCount="0" supportSubquery="1" supportAdvancedDrill="1" xr:uid="{7B32F2E1-EE0C-4E33-B0A9-235D7302724B}">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Bean_and_Brew_Data_Cleaned].[Transaction_ID]" caption="Transaction_ID" attribute="1" defaultMemberUniqueName="[Bean_and_Brew_Data_Cleaned].[Transaction_ID].[All]" allUniqueName="[Bean_and_Brew_Data_Cleaned].[Transaction_ID].[All]" dimensionUniqueName="[Bean_and_Brew_Data_Cleaned]" displayFolder="" count="0" memberValueDatatype="20" unbalanced="0"/>
    <cacheHierarchy uniqueName="[Bean_and_Brew_Data_Cleaned].[Date]" caption="Date" attribute="1" time="1" defaultMemberUniqueName="[Bean_and_Brew_Data_Cleaned].[Date].[All]" allUniqueName="[Bean_and_Brew_Data_Cleaned].[Date].[All]" dimensionUniqueName="[Bean_and_Brew_Data_Cleaned]" displayFolder="" count="0" memberValueDatatype="7" unbalanced="0"/>
    <cacheHierarchy uniqueName="[Bean_and_Brew_Data_Cleaned].[Month_Name]" caption="Month_Name" attribute="1" defaultMemberUniqueName="[Bean_and_Brew_Data_Cleaned].[Month_Name].[All]" allUniqueName="[Bean_and_Brew_Data_Cleaned].[Month_Name].[All]" dimensionUniqueName="[Bean_and_Brew_Data_Cleaned]" displayFolder="" count="0" memberValueDatatype="130" unbalanced="0"/>
    <cacheHierarchy uniqueName="[Bean_and_Brew_Data_Cleaned].[Time]" caption="Time" attribute="1" defaultMemberUniqueName="[Bean_and_Brew_Data_Cleaned].[Time].[All]" allUniqueName="[Bean_and_Brew_Data_Cleaned].[Time].[All]" dimensionUniqueName="[Bean_and_Brew_Data_Cleaned]" displayFolder="" count="0" memberValueDatatype="20" unbalanced="0"/>
    <cacheHierarchy uniqueName="[Bean_and_Brew_Data_Cleaned].[Day_of_Week]" caption="Day_of_Week" attribute="1" defaultMemberUniqueName="[Bean_and_Brew_Data_Cleaned].[Day_of_Week].[All]" allUniqueName="[Bean_and_Brew_Data_Cleaned].[Day_of_Week].[All]" dimensionUniqueName="[Bean_and_Brew_Data_Cleaned]" displayFolder="" count="2" memberValueDatatype="130" unbalanced="0"/>
    <cacheHierarchy uniqueName="[Bean_and_Brew_Data_Cleaned].[Product]" caption="Product" attribute="1" defaultMemberUniqueName="[Bean_and_Brew_Data_Cleaned].[Product].[All]" allUniqueName="[Bean_and_Brew_Data_Cleaned].[Product].[All]" dimensionUniqueName="[Bean_and_Brew_Data_Cleaned]" displayFolder="" count="2" memberValueDatatype="130" unbalanced="0"/>
    <cacheHierarchy uniqueName="[Bean_and_Brew_Data_Cleaned].[Quantity]" caption="Quantity" attribute="1" defaultMemberUniqueName="[Bean_and_Brew_Data_Cleaned].[Quantity].[All]" allUniqueName="[Bean_and_Brew_Data_Cleaned].[Quantity].[All]" dimensionUniqueName="[Bean_and_Brew_Data_Cleaned]" displayFolder="" count="0" memberValueDatatype="20" unbalanced="0"/>
    <cacheHierarchy uniqueName="[Bean_and_Brew_Data_Cleaned].[Unit_Price_AED]" caption="Unit_Price_AED" attribute="1" defaultMemberUniqueName="[Bean_and_Brew_Data_Cleaned].[Unit_Price_AED].[All]" allUniqueName="[Bean_and_Brew_Data_Cleaned].[Unit_Price_AED].[All]" dimensionUniqueName="[Bean_and_Brew_Data_Cleaned]" displayFolder="" count="0" memberValueDatatype="20" unbalanced="0"/>
    <cacheHierarchy uniqueName="[Bean_and_Brew_Data_Cleaned].[Total_Amount_AED]" caption="Total_Amount_AED" attribute="1" defaultMemberUniqueName="[Bean_and_Brew_Data_Cleaned].[Total_Amount_AED].[All]" allUniqueName="[Bean_and_Brew_Data_Cleaned].[Total_Amount_AED].[All]" dimensionUniqueName="[Bean_and_Brew_Data_Cleaned]" displayFolder="" count="0" memberValueDatatype="20" unbalanced="0"/>
    <cacheHierarchy uniqueName="[Bean_and_Brew_Data_Cleaned].[Payment_Method]" caption="Payment_Method" attribute="1" defaultMemberUniqueName="[Bean_and_Brew_Data_Cleaned].[Payment_Method].[All]" allUniqueName="[Bean_and_Brew_Data_Cleaned].[Payment_Method].[All]" dimensionUniqueName="[Bean_and_Brew_Data_Cleaned]" displayFolder="" count="2" memberValueDatatype="130" unbalanced="0"/>
    <cacheHierarchy uniqueName="[Measures].[__XL_Count Bean_and_Brew_Data_Cleaned]" caption="__XL_Count Bean_and_Brew_Data_Cleaned" measure="1" displayFolder="" measureGroup="Bean_and_Brew_Data_Cleaned" count="0" hidden="1"/>
    <cacheHierarchy uniqueName="[Measures].[__No measures defined]" caption="__No measures defined" measure="1" displayFolder="" count="0" hidden="1"/>
    <cacheHierarchy uniqueName="[Measures].[Sum of Transaction_ID]" caption="Sum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Sum of Total_Amount_AED]" caption="Sum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y uniqueName="[Measures].[Average of Total_Amount_AED]" caption="Average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67916194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tfire Asus A15" refreshedDate="46083.992667361112" backgroundQuery="1" createdVersion="3" refreshedVersion="8" minRefreshableVersion="3" recordCount="0" supportSubquery="1" supportAdvancedDrill="1" xr:uid="{A1152ABE-43AC-4B33-9EE4-E1049DE25803}">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Bean_and_Brew_Data_Cleaned].[Transaction_ID]" caption="Transaction_ID" attribute="1" defaultMemberUniqueName="[Bean_and_Brew_Data_Cleaned].[Transaction_ID].[All]" allUniqueName="[Bean_and_Brew_Data_Cleaned].[Transaction_ID].[All]" dimensionUniqueName="[Bean_and_Brew_Data_Cleaned]" displayFolder="" count="0" memberValueDatatype="20" unbalanced="0"/>
    <cacheHierarchy uniqueName="[Bean_and_Brew_Data_Cleaned].[Date]" caption="Date" attribute="1" time="1" defaultMemberUniqueName="[Bean_and_Brew_Data_Cleaned].[Date].[All]" allUniqueName="[Bean_and_Brew_Data_Cleaned].[Date].[All]" dimensionUniqueName="[Bean_and_Brew_Data_Cleaned]" displayFolder="" count="2" memberValueDatatype="7" unbalanced="0"/>
    <cacheHierarchy uniqueName="[Bean_and_Brew_Data_Cleaned].[Month_Name]" caption="Month_Name" attribute="1" defaultMemberUniqueName="[Bean_and_Brew_Data_Cleaned].[Month_Name].[All]" allUniqueName="[Bean_and_Brew_Data_Cleaned].[Month_Name].[All]" dimensionUniqueName="[Bean_and_Brew_Data_Cleaned]" displayFolder="" count="0" memberValueDatatype="130" unbalanced="0"/>
    <cacheHierarchy uniqueName="[Bean_and_Brew_Data_Cleaned].[Time]" caption="Time" attribute="1" defaultMemberUniqueName="[Bean_and_Brew_Data_Cleaned].[Time].[All]" allUniqueName="[Bean_and_Brew_Data_Cleaned].[Time].[All]" dimensionUniqueName="[Bean_and_Brew_Data_Cleaned]" displayFolder="" count="0" memberValueDatatype="20" unbalanced="0"/>
    <cacheHierarchy uniqueName="[Bean_and_Brew_Data_Cleaned].[Day_of_Week]" caption="Day_of_Week" attribute="1" defaultMemberUniqueName="[Bean_and_Brew_Data_Cleaned].[Day_of_Week].[All]" allUniqueName="[Bean_and_Brew_Data_Cleaned].[Day_of_Week].[All]" dimensionUniqueName="[Bean_and_Brew_Data_Cleaned]" displayFolder="" count="0" memberValueDatatype="130" unbalanced="0"/>
    <cacheHierarchy uniqueName="[Bean_and_Brew_Data_Cleaned].[Product]" caption="Product" attribute="1" defaultMemberUniqueName="[Bean_and_Brew_Data_Cleaned].[Product].[All]" allUniqueName="[Bean_and_Brew_Data_Cleaned].[Product].[All]" dimensionUniqueName="[Bean_and_Brew_Data_Cleaned]" displayFolder="" count="0" memberValueDatatype="130" unbalanced="0"/>
    <cacheHierarchy uniqueName="[Bean_and_Brew_Data_Cleaned].[Quantity]" caption="Quantity" attribute="1" defaultMemberUniqueName="[Bean_and_Brew_Data_Cleaned].[Quantity].[All]" allUniqueName="[Bean_and_Brew_Data_Cleaned].[Quantity].[All]" dimensionUniqueName="[Bean_and_Brew_Data_Cleaned]" displayFolder="" count="0" memberValueDatatype="20" unbalanced="0"/>
    <cacheHierarchy uniqueName="[Bean_and_Brew_Data_Cleaned].[Unit_Price_AED]" caption="Unit_Price_AED" attribute="1" defaultMemberUniqueName="[Bean_and_Brew_Data_Cleaned].[Unit_Price_AED].[All]" allUniqueName="[Bean_and_Brew_Data_Cleaned].[Unit_Price_AED].[All]" dimensionUniqueName="[Bean_and_Brew_Data_Cleaned]" displayFolder="" count="0" memberValueDatatype="20" unbalanced="0"/>
    <cacheHierarchy uniqueName="[Bean_and_Brew_Data_Cleaned].[Total_Amount_AED]" caption="Total_Amount_AED" attribute="1" defaultMemberUniqueName="[Bean_and_Brew_Data_Cleaned].[Total_Amount_AED].[All]" allUniqueName="[Bean_and_Brew_Data_Cleaned].[Total_Amount_AED].[All]" dimensionUniqueName="[Bean_and_Brew_Data_Cleaned]" displayFolder="" count="0" memberValueDatatype="20" unbalanced="0"/>
    <cacheHierarchy uniqueName="[Bean_and_Brew_Data_Cleaned].[Payment_Method]" caption="Payment_Method" attribute="1" defaultMemberUniqueName="[Bean_and_Brew_Data_Cleaned].[Payment_Method].[All]" allUniqueName="[Bean_and_Brew_Data_Cleaned].[Payment_Method].[All]" dimensionUniqueName="[Bean_and_Brew_Data_Cleaned]" displayFolder="" count="0" memberValueDatatype="130" unbalanced="0"/>
    <cacheHierarchy uniqueName="[Measures].[__XL_Count Bean_and_Brew_Data_Cleaned]" caption="__XL_Count Bean_and_Brew_Data_Cleaned" measure="1" displayFolder="" measureGroup="Bean_and_Brew_Data_Cleaned" count="0" hidden="1"/>
    <cacheHierarchy uniqueName="[Measures].[__No measures defined]" caption="__No measures defined" measure="1" displayFolder="" count="0" hidden="1"/>
    <cacheHierarchy uniqueName="[Measures].[Sum of Transaction_ID]" caption="Sum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Bean_and_Brew_Data_Cleaned" count="0" hidden="1">
      <extLst>
        <ext xmlns:x15="http://schemas.microsoft.com/office/spreadsheetml/2010/11/main" uri="{B97F6D7D-B522-45F9-BDA1-12C45D357490}">
          <x15:cacheHierarchy aggregatedColumn="0"/>
        </ext>
      </extLst>
    </cacheHierarchy>
    <cacheHierarchy uniqueName="[Measures].[Sum of Total_Amount_AED]" caption="Sum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y uniqueName="[Measures].[Average of Total_Amount_AED]" caption="Average of Total_Amount_AED" measure="1" displayFolder="" measureGroup="Bean_and_Brew_Data_Cleaned"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8275404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512766-8075-4697-90D3-521AE1A8550D}" name="PivotTable2" cacheId="1"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9">
  <location ref="F4:G9"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Total Revenue" fld="1" baseField="0" baseItem="0" numFmtId="164"/>
  </dataFields>
  <formats count="11">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outline="0" collapsedLevelsAreSubtotals="1" fieldPosition="0"/>
    </format>
    <format dxfId="3">
      <pivotArea dataOnly="0" labelOnly="1" outline="0" fieldPosition="0">
        <references count="1">
          <reference field="4294967294" count="1">
            <x v="0"/>
          </reference>
        </references>
      </pivotArea>
    </format>
    <format dxfId="2">
      <pivotArea outline="0" collapsedLevelsAreSubtotals="1" fieldPosition="0"/>
    </format>
    <format dxfId="1">
      <pivotArea dataOnly="0" labelOnly="1" outline="0" fieldPosition="0">
        <references count="1">
          <reference field="4294967294" count="1">
            <x v="0"/>
          </reference>
        </references>
      </pivotArea>
    </format>
    <format dxfId="0">
      <pivotArea outline="0" collapsedLevelsAreSubtotals="1" fieldPosition="0">
        <references count="1">
          <reference field="4294967294" count="1" selected="0">
            <x v="0"/>
          </reference>
        </references>
      </pivotArea>
    </format>
  </formats>
  <chartFormats count="2">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Total Sales"/>
    <pivotHierarchy dragToData="1" caption="Total Revenue"/>
    <pivotHierarchy dragToData="1"/>
  </pivotHierarchies>
  <pivotTableStyleInfo name="PivotStyleDark5" showRowHeaders="1" showColHeaders="1" showRowStripes="0" showColStripes="0" showLastColumn="1"/>
  <filters count="1">
    <filter fld="2" type="dateBetween" evalOrder="-1" id="8" name="[Bean_and_Brew_Data_Cleaned].[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ean_and_Brew_Data_Cleaned">
        <x15:activeTabTopLevelEntity name="[Bean_and_Brew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5E4BF-EBC4-4ABA-A845-5805AD70330E}" name="PivotTable1" cacheId="0"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7">
  <location ref="B4:D94" firstHeaderRow="0" firstDataRow="1" firstDataCol="1"/>
  <pivotFields count="3">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dataField="1" subtotalTop="0" showAll="0" defaultSubtotal="0"/>
    <pivotField dataField="1" subtotalTop="0" showAll="0" defaultSubtota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rowItems>
  <colFields count="1">
    <field x="-2"/>
  </colFields>
  <colItems count="2">
    <i>
      <x/>
    </i>
    <i i="1">
      <x v="1"/>
    </i>
  </colItems>
  <dataFields count="2">
    <dataField name="Total Sales" fld="1" subtotal="count" baseField="0" baseItem="0" numFmtId="1"/>
    <dataField name="Total Revenue" fld="2" baseField="0" baseItem="0" numFmtId="164"/>
  </dataFields>
  <formats count="12">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type="all" dataOnly="0" outline="0"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outline="0" collapsedLevelsAreSubtotals="1" fieldPosition="0"/>
    </format>
    <format dxfId="12">
      <pivotArea outline="0" collapsedLevelsAreSubtotals="1" fieldPosition="0">
        <references count="1">
          <reference field="4294967294" count="1" selected="0">
            <x v="1"/>
          </reference>
        </references>
      </pivotArea>
    </format>
    <format dxfId="11">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Total Sales"/>
    <pivotHierarchy dragToData="1" caption="Total Revenue"/>
    <pivotHierarchy dragToData="1"/>
  </pivotHierarchies>
  <pivotTableStyleInfo name="PivotStyleDark5" showRowHeaders="1" showColHeaders="1" showRowStripes="0" showColStripes="0" showLastColumn="1"/>
  <filters count="1">
    <filter fld="0" type="dateBetween" evalOrder="-1" id="13" name="[Bean_and_Brew_Data_Cleaned].[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ean_and_Brew_Data_Cleaned">
        <x15:activeTabTopLevelEntity name="[Bean_and_Brew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02C69-0BBD-475B-93C3-565D8C7C4FD7}" name="PivotTable4" cacheId="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K4:M8"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name="Count of Transaction_ID" fld="2" subtotal="count" baseField="0" baseItem="0" numFmtId="1"/>
    <dataField name="Sum of Total_Amount_AED" fld="1" baseField="0" baseItem="0" numFmtId="164"/>
  </dataFields>
  <formats count="2">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s>
  <pivotHierarchies count="1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Count of Transaction_ID"/>
    <pivotHierarchy dragToData="1"/>
    <pivotHierarchy dragToData="1"/>
  </pivotHierarchies>
  <pivotTableStyleInfo name="PivotStyleDark5" showRowHeaders="1" showColHeaders="1" showRowStripes="0" showColStripes="0" showLastColumn="1"/>
  <filters count="1">
    <filter fld="3" type="dateBetween" evalOrder="-1" id="8" name="[Bean_and_Brew_Data_Cleaned].[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ean_and_Brew_Data_Cleaned">
        <x15:activeTabTopLevelEntity name="[Bean_and_Brew_Data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84EEA5-1DA9-4BD3-B7AB-EF6BC064DD18}" name="PivotTable3" cacheId="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0">
  <location ref="F13:G26" firstHeaderRow="1" firstDataRow="1" firstDataCol="1"/>
  <pivotFields count="3">
    <pivotField axis="axisRow" allDrilled="1" subtotalTop="0" showAll="0"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Items count="1">
    <i/>
  </colItems>
  <dataFields count="1">
    <dataField name="Total Sales" fld="1" subtotal="count" baseField="0" baseItem="2" numFmtId="1"/>
  </dataFields>
  <formats count="1">
    <format dxfId="25">
      <pivotArea outline="0" collapsedLevelsAreSubtotals="1" fieldPosition="0">
        <references count="1">
          <reference field="4294967294" count="1" selected="0">
            <x v="0"/>
          </reference>
        </references>
      </pivotArea>
    </format>
  </formats>
  <chartFormats count="15">
    <chartFormat chart="0" format="0" series="1">
      <pivotArea type="data" outline="0" fieldPosition="0">
        <references count="1">
          <reference field="4294967294" count="1" selected="0">
            <x v="0"/>
          </reference>
        </references>
      </pivotArea>
    </chartFormat>
    <chartFormat chart="3" format="45" series="1">
      <pivotArea type="data" outline="0" fieldPosition="0">
        <references count="1">
          <reference field="4294967294" count="1" selected="0">
            <x v="0"/>
          </reference>
        </references>
      </pivotArea>
    </chartFormat>
    <chartFormat chart="3" format="46">
      <pivotArea type="data" outline="0" fieldPosition="0">
        <references count="2">
          <reference field="4294967294" count="1" selected="0">
            <x v="0"/>
          </reference>
          <reference field="0" count="1" selected="0">
            <x v="2"/>
          </reference>
        </references>
      </pivotArea>
    </chartFormat>
    <chartFormat chart="3" format="47">
      <pivotArea type="data" outline="0" fieldPosition="0">
        <references count="2">
          <reference field="4294967294" count="1" selected="0">
            <x v="0"/>
          </reference>
          <reference field="0" count="1" selected="0">
            <x v="9"/>
          </reference>
        </references>
      </pivotArea>
    </chartFormat>
    <chartFormat chart="3" format="48">
      <pivotArea type="data" outline="0" fieldPosition="0">
        <references count="2">
          <reference field="4294967294" count="1" selected="0">
            <x v="0"/>
          </reference>
          <reference field="0" count="1" selected="0">
            <x v="1"/>
          </reference>
        </references>
      </pivotArea>
    </chartFormat>
    <chartFormat chart="3" format="49">
      <pivotArea type="data" outline="0" fieldPosition="0">
        <references count="2">
          <reference field="4294967294" count="1" selected="0">
            <x v="0"/>
          </reference>
          <reference field="0" count="1" selected="0">
            <x v="3"/>
          </reference>
        </references>
      </pivotArea>
    </chartFormat>
    <chartFormat chart="3" format="50">
      <pivotArea type="data" outline="0" fieldPosition="0">
        <references count="2">
          <reference field="4294967294" count="1" selected="0">
            <x v="0"/>
          </reference>
          <reference field="0" count="1" selected="0">
            <x v="4"/>
          </reference>
        </references>
      </pivotArea>
    </chartFormat>
    <chartFormat chart="3" format="51">
      <pivotArea type="data" outline="0" fieldPosition="0">
        <references count="2">
          <reference field="4294967294" count="1" selected="0">
            <x v="0"/>
          </reference>
          <reference field="0" count="1" selected="0">
            <x v="10"/>
          </reference>
        </references>
      </pivotArea>
    </chartFormat>
    <chartFormat chart="3" format="52">
      <pivotArea type="data" outline="0" fieldPosition="0">
        <references count="2">
          <reference field="4294967294" count="1" selected="0">
            <x v="0"/>
          </reference>
          <reference field="0" count="1" selected="0">
            <x v="8"/>
          </reference>
        </references>
      </pivotArea>
    </chartFormat>
    <chartFormat chart="3" format="53">
      <pivotArea type="data" outline="0" fieldPosition="0">
        <references count="2">
          <reference field="4294967294" count="1" selected="0">
            <x v="0"/>
          </reference>
          <reference field="0" count="1" selected="0">
            <x v="12"/>
          </reference>
        </references>
      </pivotArea>
    </chartFormat>
    <chartFormat chart="3" format="54">
      <pivotArea type="data" outline="0" fieldPosition="0">
        <references count="2">
          <reference field="4294967294" count="1" selected="0">
            <x v="0"/>
          </reference>
          <reference field="0" count="1" selected="0">
            <x v="7"/>
          </reference>
        </references>
      </pivotArea>
    </chartFormat>
    <chartFormat chart="3" format="55">
      <pivotArea type="data" outline="0" fieldPosition="0">
        <references count="2">
          <reference field="4294967294" count="1" selected="0">
            <x v="0"/>
          </reference>
          <reference field="0" count="1" selected="0">
            <x v="5"/>
          </reference>
        </references>
      </pivotArea>
    </chartFormat>
    <chartFormat chart="3" format="56">
      <pivotArea type="data" outline="0" fieldPosition="0">
        <references count="2">
          <reference field="4294967294" count="1" selected="0">
            <x v="0"/>
          </reference>
          <reference field="0" count="1" selected="0">
            <x v="11"/>
          </reference>
        </references>
      </pivotArea>
    </chartFormat>
    <chartFormat chart="3" format="57">
      <pivotArea type="data" outline="0" fieldPosition="0">
        <references count="2">
          <reference field="4294967294" count="1" selected="0">
            <x v="0"/>
          </reference>
          <reference field="0" count="1" selected="0">
            <x v="6"/>
          </reference>
        </references>
      </pivotArea>
    </chartFormat>
    <chartFormat chart="3" format="58">
      <pivotArea type="data" outline="0" fieldPosition="0">
        <references count="2">
          <reference field="4294967294" count="1" selected="0">
            <x v="0"/>
          </reference>
          <reference field="0" count="1" selected="0">
            <x v="0"/>
          </reference>
        </references>
      </pivotArea>
    </chartFormat>
  </chartFormats>
  <pivotHierarchies count="16">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Total Sales"/>
    <pivotHierarchy dragToData="1" caption="Total Revenue"/>
    <pivotHierarchy dragToData="1" caption="Avg Order Value"/>
  </pivotHierarchies>
  <pivotTableStyleInfo name="PivotStyleDark5" showRowHeaders="1" showColHeaders="1" showRowStripes="0" showColStripes="0" showLastColumn="1"/>
  <filters count="1">
    <filter fld="2" type="dateBetween" evalOrder="-1" id="8" name="[Bean_and_Brew_Data_Cleaned].[Date]">
      <autoFilter ref="A1">
        <filterColumn colId="0">
          <customFilters and="1">
            <customFilter operator="greaterThanOrEqual" val="45658"/>
            <customFilter operator="lessThanOrEqual" val="45747"/>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Bean_and_Brew_Data_Cleaned">
        <x15:activeTabTopLevelEntity name="[Bean_and_Brew_Data_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D0898AF-F711-46A4-9690-0DE1BB5BFC8D}" sourceName="[Bean_and_Brew_Data_Cleaned].[Product]">
  <pivotTables>
    <pivotTable tabId="1" name="PivotTable2"/>
    <pivotTable tabId="1" name="PivotTable1"/>
    <pivotTable tabId="1" name="PivotTable3"/>
    <pivotTable tabId="1" name="PivotTable4"/>
  </pivotTables>
  <data>
    <olap pivotCacheId="679161948">
      <levels count="2">
        <level uniqueName="[Bean_and_Brew_Data_Cleaned].[Product].[(All)]" sourceCaption="(All)" count="0"/>
        <level uniqueName="[Bean_and_Brew_Data_Cleaned].[Product].[Product]" sourceCaption="Product" count="5">
          <ranges>
            <range startItem="0">
              <i n="[Bean_and_Brew_Data_Cleaned].[Product].&amp;[Cappuccino]" c="Cappuccino"/>
              <i n="[Bean_and_Brew_Data_Cleaned].[Product].&amp;[Espresso]" c="Espresso"/>
              <i n="[Bean_and_Brew_Data_Cleaned].[Product].&amp;[Latte]" c="Latte"/>
              <i n="[Bean_and_Brew_Data_Cleaned].[Product].&amp;[Pastry]" c="Pastry"/>
              <i n="[Bean_and_Brew_Data_Cleaned].[Product].&amp;[Sandwich]" c="Sandwich"/>
            </range>
          </ranges>
        </level>
      </levels>
      <selections count="1">
        <selection n="[Bean_and_Brew_Data_Cleaned].[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DB4851E-4F0A-496E-9B1F-DBB8069F5BBF}" sourceName="[Bean_and_Brew_Data_Cleaned].[Payment_Method]">
  <pivotTables>
    <pivotTable tabId="1" name="PivotTable2"/>
    <pivotTable tabId="1" name="PivotTable1"/>
    <pivotTable tabId="1" name="PivotTable3"/>
    <pivotTable tabId="1" name="PivotTable4"/>
  </pivotTables>
  <data>
    <olap pivotCacheId="679161948">
      <levels count="2">
        <level uniqueName="[Bean_and_Brew_Data_Cleaned].[Payment_Method].[(All)]" sourceCaption="(All)" count="0"/>
        <level uniqueName="[Bean_and_Brew_Data_Cleaned].[Payment_Method].[Payment_Method]" sourceCaption="Payment_Method" count="4">
          <ranges>
            <range startItem="0">
              <i n="[Bean_and_Brew_Data_Cleaned].[Payment_Method].&amp;[Card]" c="Card"/>
              <i n="[Bean_and_Brew_Data_Cleaned].[Payment_Method].&amp;[Cash]" c="Cash"/>
              <i n="[Bean_and_Brew_Data_Cleaned].[Payment_Method].&amp;[Digital Wallet]" c="Digital Wallet"/>
              <i n="[Bean_and_Brew_Data_Cleaned].[Payment_Method].&amp;[Unknown]" c="Unknown"/>
            </range>
          </ranges>
        </level>
      </levels>
      <selections count="1">
        <selection n="[Bean_and_Brew_Data_Cleaned].[Payment_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3B931D26-B2ED-4C9A-A91D-CD84A60E5B1E}" sourceName="[Bean_and_Brew_Data_Cleaned].[Day_of_Week]">
  <pivotTables>
    <pivotTable tabId="1" name="PivotTable2"/>
    <pivotTable tabId="1" name="PivotTable1"/>
    <pivotTable tabId="1" name="PivotTable3"/>
    <pivotTable tabId="1" name="PivotTable4"/>
  </pivotTables>
  <data>
    <olap pivotCacheId="679161948">
      <levels count="2">
        <level uniqueName="[Bean_and_Brew_Data_Cleaned].[Day_of_Week].[(All)]" sourceCaption="(All)" count="0"/>
        <level uniqueName="[Bean_and_Brew_Data_Cleaned].[Day_of_Week].[Day_of_Week]" sourceCaption="Day_of_Week" count="7">
          <ranges>
            <range startItem="0">
              <i n="[Bean_and_Brew_Data_Cleaned].[Day_of_Week].&amp;[Friday]" c="Friday"/>
              <i n="[Bean_and_Brew_Data_Cleaned].[Day_of_Week].&amp;[Monday]" c="Monday"/>
              <i n="[Bean_and_Brew_Data_Cleaned].[Day_of_Week].&amp;[Saturday]" c="Saturday"/>
              <i n="[Bean_and_Brew_Data_Cleaned].[Day_of_Week].&amp;[Sunday]" c="Sunday"/>
              <i n="[Bean_and_Brew_Data_Cleaned].[Day_of_Week].&amp;[Thursday]" c="Thursday"/>
              <i n="[Bean_and_Brew_Data_Cleaned].[Day_of_Week].&amp;[Tuesday]" c="Tuesday"/>
              <i n="[Bean_and_Brew_Data_Cleaned].[Day_of_Week].&amp;[Wednesday]" c="Wednesday"/>
            </range>
          </ranges>
        </level>
      </levels>
      <selections count="1">
        <selection n="[Bean_and_Brew_Data_Cleaned].[Day_of_Wee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CB3346D-0ECA-4E3E-8C07-A6C51B22B5C3}" cache="Slicer_Product" caption="Product" level="1" style="SlicerStyleLight4" rowHeight="234950"/>
  <slicer name="Payment_Method" xr10:uid="{145475DB-DA27-4A4E-A57F-1F7FDFCD1FAB}" cache="Slicer_Payment_Method" caption="Payment_Method" level="1" style="SlicerStyleLight4" rowHeight="234950"/>
  <slicer name="Day_of_Week" xr10:uid="{61A0F049-2457-4CF5-9760-7404A59D1F16}" cache="Slicer_Day_of_Week" caption="Day_of_Week" level="1"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2340B1C-59EF-4C07-95A5-B61B3306F4A1}" sourceName="[Bean_and_Brew_Data_Cleaned].[Date]">
  <pivotTables>
    <pivotTable tabId="1" name="PivotTable1"/>
    <pivotTable tabId="1" name="PivotTable2"/>
    <pivotTable tabId="1" name="PivotTable3"/>
    <pivotTable tabId="1" name="PivotTable4"/>
  </pivotTables>
  <state minimalRefreshVersion="6" lastRefreshVersion="6" pivotCacheId="827540471" filterType="dateBetween">
    <selection startDate="2025-01-01T00:00:00" endDate="2025-03-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A14F0B3-97F0-4961-8574-1BBE5BED8AE8}" cache="Timeline_Date" caption="Date" level="2" selectionLevel="1" scrollPosition="2025-01-01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4C279-013B-4905-B33D-A67DB4B38649}">
  <dimension ref="A1:AC34"/>
  <sheetViews>
    <sheetView tabSelected="1" zoomScale="85" zoomScaleNormal="85" workbookViewId="0">
      <selection activeCell="AD18" sqref="AD18"/>
    </sheetView>
  </sheetViews>
  <sheetFormatPr defaultRowHeight="14.4" x14ac:dyDescent="0.3"/>
  <sheetData>
    <row r="1" spans="1:29" x14ac:dyDescent="0.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ht="15"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row>
    <row r="4" spans="1:29"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row>
    <row r="5" spans="1:29"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row>
    <row r="6" spans="1:29"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row>
    <row r="7" spans="1:29" x14ac:dyDescent="0.3">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row>
    <row r="8" spans="1:29"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row>
    <row r="9" spans="1:29" x14ac:dyDescent="0.3">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row>
    <row r="10" spans="1:29"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row>
    <row r="11" spans="1:29"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row>
    <row r="12" spans="1:29"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row>
    <row r="13" spans="1:29"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row>
    <row r="14" spans="1:29"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row>
    <row r="15" spans="1:29"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row>
    <row r="16" spans="1:29"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row>
    <row r="17" spans="1:29"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row>
    <row r="18" spans="1:29"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row>
    <row r="19" spans="1:29"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row>
    <row r="20" spans="1:29"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row>
    <row r="21" spans="1:29"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row>
    <row r="22" spans="1:29"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row>
    <row r="23" spans="1:29"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row>
    <row r="24" spans="1:29"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row>
    <row r="25" spans="1:29"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row>
    <row r="26" spans="1:29"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row>
    <row r="27" spans="1:29"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row>
    <row r="28" spans="1:29"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row>
    <row r="29" spans="1:29"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row>
    <row r="30" spans="1:29"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row>
    <row r="31" spans="1:29"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row>
    <row r="32" spans="1:29"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row>
    <row r="33" spans="1:29"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row>
    <row r="34" spans="1:29"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2849-28F9-457E-9045-FDB4B7FB19BD}">
  <dimension ref="B2:P94"/>
  <sheetViews>
    <sheetView workbookViewId="0">
      <selection activeCell="D5" sqref="D5"/>
    </sheetView>
  </sheetViews>
  <sheetFormatPr defaultRowHeight="14.4" x14ac:dyDescent="0.3"/>
  <cols>
    <col min="1" max="1" width="3" customWidth="1"/>
    <col min="2" max="2" width="12.5546875" style="6" bestFit="1" customWidth="1"/>
    <col min="3" max="3" width="9.88671875" style="8" bestFit="1" customWidth="1"/>
    <col min="4" max="4" width="13.109375" style="8" bestFit="1" customWidth="1"/>
    <col min="6" max="6" width="12.5546875" style="6" bestFit="1" customWidth="1"/>
    <col min="7" max="7" width="9.88671875" style="8" bestFit="1" customWidth="1"/>
    <col min="8" max="9" width="14.77734375" style="8" bestFit="1" customWidth="1"/>
    <col min="11" max="11" width="12.5546875" bestFit="1" customWidth="1"/>
    <col min="12" max="12" width="21.6640625" bestFit="1" customWidth="1"/>
    <col min="13" max="13" width="24.33203125" bestFit="1" customWidth="1"/>
    <col min="15" max="15" width="4" bestFit="1" customWidth="1"/>
    <col min="16" max="16" width="12.77734375" bestFit="1" customWidth="1"/>
  </cols>
  <sheetData>
    <row r="2" spans="2:16" x14ac:dyDescent="0.3">
      <c r="B2" s="14"/>
      <c r="C2" s="14"/>
      <c r="D2" s="14"/>
      <c r="F2" s="14"/>
      <c r="G2" s="14"/>
      <c r="H2" s="14"/>
    </row>
    <row r="4" spans="2:16" x14ac:dyDescent="0.3">
      <c r="B4" s="5" t="s">
        <v>0</v>
      </c>
      <c r="C4" s="6" t="s">
        <v>8</v>
      </c>
      <c r="D4" s="6" t="s">
        <v>9</v>
      </c>
      <c r="F4" s="5" t="s">
        <v>0</v>
      </c>
      <c r="G4" t="s">
        <v>9</v>
      </c>
      <c r="H4"/>
      <c r="K4" s="1" t="s">
        <v>0</v>
      </c>
      <c r="L4" t="s">
        <v>2</v>
      </c>
      <c r="M4" t="s">
        <v>1</v>
      </c>
      <c r="O4" s="4">
        <f>SUM(C5:C2000)</f>
        <v>501</v>
      </c>
      <c r="P4" s="3">
        <f>SUM(D5:D2000)</f>
        <v>12480</v>
      </c>
    </row>
    <row r="5" spans="2:16" x14ac:dyDescent="0.3">
      <c r="B5" s="7">
        <v>45658</v>
      </c>
      <c r="C5" s="9">
        <v>3</v>
      </c>
      <c r="D5" s="10">
        <v>65</v>
      </c>
      <c r="F5" s="6" t="s">
        <v>3</v>
      </c>
      <c r="G5" s="10">
        <v>2560</v>
      </c>
      <c r="H5"/>
      <c r="K5" s="2" t="s">
        <v>10</v>
      </c>
      <c r="L5" s="4">
        <v>216</v>
      </c>
      <c r="M5" s="3">
        <v>5275</v>
      </c>
      <c r="O5" s="8"/>
      <c r="P5" s="10">
        <f>P4/O4</f>
        <v>24.910179640718564</v>
      </c>
    </row>
    <row r="6" spans="2:16" x14ac:dyDescent="0.3">
      <c r="B6" s="7">
        <v>45659</v>
      </c>
      <c r="C6" s="9">
        <v>5</v>
      </c>
      <c r="D6" s="10">
        <v>100</v>
      </c>
      <c r="F6" s="6" t="s">
        <v>4</v>
      </c>
      <c r="G6" s="10">
        <v>2100</v>
      </c>
      <c r="H6"/>
      <c r="K6" s="2" t="s">
        <v>11</v>
      </c>
      <c r="L6" s="4">
        <v>163</v>
      </c>
      <c r="M6" s="3">
        <v>3935</v>
      </c>
    </row>
    <row r="7" spans="2:16" x14ac:dyDescent="0.3">
      <c r="B7" s="7">
        <v>45660</v>
      </c>
      <c r="C7" s="9">
        <v>5</v>
      </c>
      <c r="D7" s="10">
        <v>155</v>
      </c>
      <c r="F7" s="6" t="s">
        <v>5</v>
      </c>
      <c r="G7" s="10">
        <v>2880</v>
      </c>
      <c r="H7"/>
      <c r="K7" s="2" t="s">
        <v>12</v>
      </c>
      <c r="L7" s="4">
        <v>121</v>
      </c>
      <c r="M7" s="3">
        <v>3250</v>
      </c>
    </row>
    <row r="8" spans="2:16" x14ac:dyDescent="0.3">
      <c r="B8" s="7">
        <v>45661</v>
      </c>
      <c r="C8" s="9">
        <v>8</v>
      </c>
      <c r="D8" s="10">
        <v>170</v>
      </c>
      <c r="F8" s="6" t="s">
        <v>6</v>
      </c>
      <c r="G8" s="10">
        <v>2350</v>
      </c>
      <c r="H8"/>
      <c r="K8" s="2" t="s">
        <v>13</v>
      </c>
      <c r="L8" s="4">
        <v>1</v>
      </c>
      <c r="M8" s="3">
        <v>20</v>
      </c>
    </row>
    <row r="9" spans="2:16" x14ac:dyDescent="0.3">
      <c r="B9" s="7">
        <v>45662</v>
      </c>
      <c r="C9" s="9">
        <v>6</v>
      </c>
      <c r="D9" s="10">
        <v>175</v>
      </c>
      <c r="F9" s="6" t="s">
        <v>7</v>
      </c>
      <c r="G9" s="10">
        <v>2590</v>
      </c>
      <c r="H9"/>
    </row>
    <row r="10" spans="2:16" x14ac:dyDescent="0.3">
      <c r="B10" s="7">
        <v>45663</v>
      </c>
      <c r="C10" s="9">
        <v>6</v>
      </c>
      <c r="D10" s="10">
        <v>190</v>
      </c>
      <c r="F10"/>
      <c r="G10"/>
      <c r="H10"/>
    </row>
    <row r="11" spans="2:16" x14ac:dyDescent="0.3">
      <c r="B11" s="7">
        <v>45664</v>
      </c>
      <c r="C11" s="9">
        <v>6</v>
      </c>
      <c r="D11" s="10">
        <v>115</v>
      </c>
      <c r="F11" s="14"/>
      <c r="G11" s="14"/>
      <c r="H11" s="14"/>
      <c r="I11" s="14"/>
    </row>
    <row r="12" spans="2:16" x14ac:dyDescent="0.3">
      <c r="B12" s="7">
        <v>45665</v>
      </c>
      <c r="C12" s="9">
        <v>5</v>
      </c>
      <c r="D12" s="10">
        <v>110</v>
      </c>
      <c r="F12" s="11"/>
      <c r="G12" s="11"/>
      <c r="H12" s="11"/>
      <c r="I12" s="11"/>
    </row>
    <row r="13" spans="2:16" x14ac:dyDescent="0.3">
      <c r="B13" s="7">
        <v>45666</v>
      </c>
      <c r="C13" s="9">
        <v>3</v>
      </c>
      <c r="D13" s="10">
        <v>90</v>
      </c>
      <c r="F13" s="1" t="s">
        <v>0</v>
      </c>
      <c r="G13" t="s">
        <v>8</v>
      </c>
      <c r="H13"/>
      <c r="I13"/>
    </row>
    <row r="14" spans="2:16" x14ac:dyDescent="0.3">
      <c r="B14" s="7">
        <v>45667</v>
      </c>
      <c r="C14" s="9">
        <v>4</v>
      </c>
      <c r="D14" s="10">
        <v>110</v>
      </c>
      <c r="F14" s="2">
        <v>7</v>
      </c>
      <c r="G14" s="4">
        <v>32</v>
      </c>
      <c r="H14"/>
      <c r="I14"/>
    </row>
    <row r="15" spans="2:16" x14ac:dyDescent="0.3">
      <c r="B15" s="7">
        <v>45668</v>
      </c>
      <c r="C15" s="9">
        <v>8</v>
      </c>
      <c r="D15" s="10">
        <v>195</v>
      </c>
      <c r="F15" s="2">
        <v>8</v>
      </c>
      <c r="G15" s="4">
        <v>47</v>
      </c>
      <c r="H15"/>
      <c r="I15"/>
    </row>
    <row r="16" spans="2:16" x14ac:dyDescent="0.3">
      <c r="B16" s="7">
        <v>45669</v>
      </c>
      <c r="C16" s="9">
        <v>6</v>
      </c>
      <c r="D16" s="10">
        <v>155</v>
      </c>
      <c r="F16" s="2">
        <v>9</v>
      </c>
      <c r="G16" s="4">
        <v>58</v>
      </c>
      <c r="H16"/>
      <c r="I16"/>
    </row>
    <row r="17" spans="2:9" x14ac:dyDescent="0.3">
      <c r="B17" s="7">
        <v>45670</v>
      </c>
      <c r="C17" s="9">
        <v>6</v>
      </c>
      <c r="D17" s="10">
        <v>120</v>
      </c>
      <c r="F17" s="2">
        <v>10</v>
      </c>
      <c r="G17" s="4">
        <v>45</v>
      </c>
      <c r="H17"/>
      <c r="I17"/>
    </row>
    <row r="18" spans="2:9" x14ac:dyDescent="0.3">
      <c r="B18" s="7">
        <v>45671</v>
      </c>
      <c r="C18" s="9">
        <v>4</v>
      </c>
      <c r="D18" s="10">
        <v>70</v>
      </c>
      <c r="F18" s="2">
        <v>11</v>
      </c>
      <c r="G18" s="4">
        <v>31</v>
      </c>
      <c r="H18"/>
      <c r="I18"/>
    </row>
    <row r="19" spans="2:9" x14ac:dyDescent="0.3">
      <c r="B19" s="7">
        <v>45672</v>
      </c>
      <c r="C19" s="9">
        <v>6</v>
      </c>
      <c r="D19" s="10">
        <v>140</v>
      </c>
      <c r="F19" s="2">
        <v>12</v>
      </c>
      <c r="G19" s="4">
        <v>33</v>
      </c>
      <c r="H19"/>
      <c r="I19"/>
    </row>
    <row r="20" spans="2:9" x14ac:dyDescent="0.3">
      <c r="B20" s="7">
        <v>45673</v>
      </c>
      <c r="C20" s="9">
        <v>5</v>
      </c>
      <c r="D20" s="10">
        <v>140</v>
      </c>
      <c r="F20" s="2">
        <v>13</v>
      </c>
      <c r="G20" s="4">
        <v>28</v>
      </c>
      <c r="H20"/>
      <c r="I20"/>
    </row>
    <row r="21" spans="2:9" x14ac:dyDescent="0.3">
      <c r="B21" s="7">
        <v>45674</v>
      </c>
      <c r="C21" s="9">
        <v>4</v>
      </c>
      <c r="D21" s="10">
        <v>105</v>
      </c>
      <c r="F21" s="2">
        <v>14</v>
      </c>
      <c r="G21" s="4">
        <v>41</v>
      </c>
      <c r="H21"/>
      <c r="I21"/>
    </row>
    <row r="22" spans="2:9" x14ac:dyDescent="0.3">
      <c r="B22" s="7">
        <v>45675</v>
      </c>
      <c r="C22" s="9">
        <v>8</v>
      </c>
      <c r="D22" s="10">
        <v>140</v>
      </c>
      <c r="F22" s="2">
        <v>15</v>
      </c>
      <c r="G22" s="4">
        <v>35</v>
      </c>
      <c r="H22"/>
      <c r="I22"/>
    </row>
    <row r="23" spans="2:9" x14ac:dyDescent="0.3">
      <c r="B23" s="7">
        <v>45676</v>
      </c>
      <c r="C23" s="9">
        <v>9</v>
      </c>
      <c r="D23" s="10">
        <v>210</v>
      </c>
      <c r="F23" s="2">
        <v>16</v>
      </c>
      <c r="G23" s="4">
        <v>50</v>
      </c>
      <c r="H23"/>
      <c r="I23"/>
    </row>
    <row r="24" spans="2:9" x14ac:dyDescent="0.3">
      <c r="B24" s="7">
        <v>45677</v>
      </c>
      <c r="C24" s="9">
        <v>5</v>
      </c>
      <c r="D24" s="10">
        <v>125</v>
      </c>
      <c r="F24" s="2">
        <v>17</v>
      </c>
      <c r="G24" s="4">
        <v>37</v>
      </c>
      <c r="H24"/>
      <c r="I24"/>
    </row>
    <row r="25" spans="2:9" x14ac:dyDescent="0.3">
      <c r="B25" s="7">
        <v>45678</v>
      </c>
      <c r="C25" s="9">
        <v>3</v>
      </c>
      <c r="D25" s="10">
        <v>65</v>
      </c>
      <c r="F25" s="2">
        <v>18</v>
      </c>
      <c r="G25" s="4">
        <v>30</v>
      </c>
      <c r="H25"/>
      <c r="I25"/>
    </row>
    <row r="26" spans="2:9" x14ac:dyDescent="0.3">
      <c r="B26" s="7">
        <v>45679</v>
      </c>
      <c r="C26" s="9">
        <v>5</v>
      </c>
      <c r="D26" s="10">
        <v>110</v>
      </c>
      <c r="F26" s="2">
        <v>19</v>
      </c>
      <c r="G26" s="4">
        <v>34</v>
      </c>
      <c r="H26"/>
      <c r="I26"/>
    </row>
    <row r="27" spans="2:9" x14ac:dyDescent="0.3">
      <c r="B27" s="7">
        <v>45680</v>
      </c>
      <c r="C27" s="9">
        <v>6</v>
      </c>
      <c r="D27" s="10">
        <v>125</v>
      </c>
    </row>
    <row r="28" spans="2:9" x14ac:dyDescent="0.3">
      <c r="B28" s="7">
        <v>45681</v>
      </c>
      <c r="C28" s="9">
        <v>3</v>
      </c>
      <c r="D28" s="10">
        <v>60</v>
      </c>
      <c r="F28"/>
      <c r="G28"/>
      <c r="H28"/>
      <c r="I28"/>
    </row>
    <row r="29" spans="2:9" x14ac:dyDescent="0.3">
      <c r="B29" s="7">
        <v>45682</v>
      </c>
      <c r="C29" s="9">
        <v>7</v>
      </c>
      <c r="D29" s="10">
        <v>145</v>
      </c>
      <c r="F29"/>
      <c r="G29"/>
      <c r="H29"/>
    </row>
    <row r="30" spans="2:9" x14ac:dyDescent="0.3">
      <c r="B30" s="7">
        <v>45683</v>
      </c>
      <c r="C30" s="9">
        <v>7</v>
      </c>
      <c r="D30" s="10">
        <v>155</v>
      </c>
    </row>
    <row r="31" spans="2:9" x14ac:dyDescent="0.3">
      <c r="B31" s="7">
        <v>45684</v>
      </c>
      <c r="C31" s="9">
        <v>3</v>
      </c>
      <c r="D31" s="10">
        <v>70</v>
      </c>
    </row>
    <row r="32" spans="2:9" x14ac:dyDescent="0.3">
      <c r="B32" s="7">
        <v>45685</v>
      </c>
      <c r="C32" s="9">
        <v>5</v>
      </c>
      <c r="D32" s="10">
        <v>95</v>
      </c>
    </row>
    <row r="33" spans="2:4" x14ac:dyDescent="0.3">
      <c r="B33" s="7">
        <v>45686</v>
      </c>
      <c r="C33" s="9">
        <v>5</v>
      </c>
      <c r="D33" s="10">
        <v>110</v>
      </c>
    </row>
    <row r="34" spans="2:4" x14ac:dyDescent="0.3">
      <c r="B34" s="7">
        <v>45687</v>
      </c>
      <c r="C34" s="9">
        <v>4</v>
      </c>
      <c r="D34" s="10">
        <v>80</v>
      </c>
    </row>
    <row r="35" spans="2:4" x14ac:dyDescent="0.3">
      <c r="B35" s="7">
        <v>45688</v>
      </c>
      <c r="C35" s="9">
        <v>6</v>
      </c>
      <c r="D35" s="10">
        <v>120</v>
      </c>
    </row>
    <row r="36" spans="2:4" x14ac:dyDescent="0.3">
      <c r="B36" s="7">
        <v>45689</v>
      </c>
      <c r="C36" s="9">
        <v>7</v>
      </c>
      <c r="D36" s="10">
        <v>155</v>
      </c>
    </row>
    <row r="37" spans="2:4" x14ac:dyDescent="0.3">
      <c r="B37" s="7">
        <v>45690</v>
      </c>
      <c r="C37" s="9">
        <v>7</v>
      </c>
      <c r="D37" s="10">
        <v>130</v>
      </c>
    </row>
    <row r="38" spans="2:4" x14ac:dyDescent="0.3">
      <c r="B38" s="7">
        <v>45691</v>
      </c>
      <c r="C38" s="9">
        <v>6</v>
      </c>
      <c r="D38" s="10">
        <v>145</v>
      </c>
    </row>
    <row r="39" spans="2:4" x14ac:dyDescent="0.3">
      <c r="B39" s="7">
        <v>45692</v>
      </c>
      <c r="C39" s="9">
        <v>4</v>
      </c>
      <c r="D39" s="10">
        <v>70</v>
      </c>
    </row>
    <row r="40" spans="2:4" x14ac:dyDescent="0.3">
      <c r="B40" s="7">
        <v>45693</v>
      </c>
      <c r="C40" s="9">
        <v>3</v>
      </c>
      <c r="D40" s="10">
        <v>55</v>
      </c>
    </row>
    <row r="41" spans="2:4" x14ac:dyDescent="0.3">
      <c r="B41" s="7">
        <v>45694</v>
      </c>
      <c r="C41" s="9">
        <v>5</v>
      </c>
      <c r="D41" s="10">
        <v>90</v>
      </c>
    </row>
    <row r="42" spans="2:4" x14ac:dyDescent="0.3">
      <c r="B42" s="7">
        <v>45695</v>
      </c>
      <c r="C42" s="9">
        <v>3</v>
      </c>
      <c r="D42" s="10">
        <v>65</v>
      </c>
    </row>
    <row r="43" spans="2:4" x14ac:dyDescent="0.3">
      <c r="B43" s="7">
        <v>45696</v>
      </c>
      <c r="C43" s="9">
        <v>7</v>
      </c>
      <c r="D43" s="10">
        <v>150</v>
      </c>
    </row>
    <row r="44" spans="2:4" x14ac:dyDescent="0.3">
      <c r="B44" s="7">
        <v>45697</v>
      </c>
      <c r="C44" s="9">
        <v>6</v>
      </c>
      <c r="D44" s="10">
        <v>100</v>
      </c>
    </row>
    <row r="45" spans="2:4" x14ac:dyDescent="0.3">
      <c r="B45" s="7">
        <v>45698</v>
      </c>
      <c r="C45" s="9">
        <v>3</v>
      </c>
      <c r="D45" s="10">
        <v>60</v>
      </c>
    </row>
    <row r="46" spans="2:4" x14ac:dyDescent="0.3">
      <c r="B46" s="7">
        <v>45699</v>
      </c>
      <c r="C46" s="9">
        <v>6</v>
      </c>
      <c r="D46" s="10">
        <v>195</v>
      </c>
    </row>
    <row r="47" spans="2:4" x14ac:dyDescent="0.3">
      <c r="B47" s="7">
        <v>45700</v>
      </c>
      <c r="C47" s="9">
        <v>4</v>
      </c>
      <c r="D47" s="10">
        <v>95</v>
      </c>
    </row>
    <row r="48" spans="2:4" x14ac:dyDescent="0.3">
      <c r="B48" s="7">
        <v>45701</v>
      </c>
      <c r="C48" s="9">
        <v>6</v>
      </c>
      <c r="D48" s="10">
        <v>180</v>
      </c>
    </row>
    <row r="49" spans="2:4" x14ac:dyDescent="0.3">
      <c r="B49" s="7">
        <v>45702</v>
      </c>
      <c r="C49" s="9">
        <v>3</v>
      </c>
      <c r="D49" s="10">
        <v>75</v>
      </c>
    </row>
    <row r="50" spans="2:4" x14ac:dyDescent="0.3">
      <c r="B50" s="7">
        <v>45703</v>
      </c>
      <c r="C50" s="9">
        <v>8</v>
      </c>
      <c r="D50" s="10">
        <v>160</v>
      </c>
    </row>
    <row r="51" spans="2:4" x14ac:dyDescent="0.3">
      <c r="B51" s="7">
        <v>45704</v>
      </c>
      <c r="C51" s="9">
        <v>7</v>
      </c>
      <c r="D51" s="10">
        <v>195</v>
      </c>
    </row>
    <row r="52" spans="2:4" x14ac:dyDescent="0.3">
      <c r="B52" s="7">
        <v>45705</v>
      </c>
      <c r="C52" s="9">
        <v>6</v>
      </c>
      <c r="D52" s="10">
        <v>130</v>
      </c>
    </row>
    <row r="53" spans="2:4" x14ac:dyDescent="0.3">
      <c r="B53" s="7">
        <v>45706</v>
      </c>
      <c r="C53" s="9">
        <v>3</v>
      </c>
      <c r="D53" s="10">
        <v>80</v>
      </c>
    </row>
    <row r="54" spans="2:4" x14ac:dyDescent="0.3">
      <c r="B54" s="7">
        <v>45707</v>
      </c>
      <c r="C54" s="9">
        <v>4</v>
      </c>
      <c r="D54" s="10">
        <v>145</v>
      </c>
    </row>
    <row r="55" spans="2:4" x14ac:dyDescent="0.3">
      <c r="B55" s="7">
        <v>45708</v>
      </c>
      <c r="C55" s="9">
        <v>5</v>
      </c>
      <c r="D55" s="10">
        <v>125</v>
      </c>
    </row>
    <row r="56" spans="2:4" x14ac:dyDescent="0.3">
      <c r="B56" s="7">
        <v>45709</v>
      </c>
      <c r="C56" s="9">
        <v>5</v>
      </c>
      <c r="D56" s="10">
        <v>90</v>
      </c>
    </row>
    <row r="57" spans="2:4" x14ac:dyDescent="0.3">
      <c r="B57" s="7">
        <v>45710</v>
      </c>
      <c r="C57" s="9">
        <v>6</v>
      </c>
      <c r="D57" s="10">
        <v>115</v>
      </c>
    </row>
    <row r="58" spans="2:4" x14ac:dyDescent="0.3">
      <c r="B58" s="7">
        <v>45711</v>
      </c>
      <c r="C58" s="9">
        <v>7</v>
      </c>
      <c r="D58" s="10">
        <v>185</v>
      </c>
    </row>
    <row r="59" spans="2:4" x14ac:dyDescent="0.3">
      <c r="B59" s="7">
        <v>45712</v>
      </c>
      <c r="C59" s="9">
        <v>5</v>
      </c>
      <c r="D59" s="10">
        <v>135</v>
      </c>
    </row>
    <row r="60" spans="2:4" x14ac:dyDescent="0.3">
      <c r="B60" s="7">
        <v>45713</v>
      </c>
      <c r="C60" s="9">
        <v>5</v>
      </c>
      <c r="D60" s="10">
        <v>110</v>
      </c>
    </row>
    <row r="61" spans="2:4" x14ac:dyDescent="0.3">
      <c r="B61" s="7">
        <v>45714</v>
      </c>
      <c r="C61" s="9">
        <v>3</v>
      </c>
      <c r="D61" s="10">
        <v>55</v>
      </c>
    </row>
    <row r="62" spans="2:4" x14ac:dyDescent="0.3">
      <c r="B62" s="7">
        <v>45715</v>
      </c>
      <c r="C62" s="9">
        <v>4</v>
      </c>
      <c r="D62" s="10">
        <v>85</v>
      </c>
    </row>
    <row r="63" spans="2:4" x14ac:dyDescent="0.3">
      <c r="B63" s="7">
        <v>45716</v>
      </c>
      <c r="C63" s="9">
        <v>6</v>
      </c>
      <c r="D63" s="10">
        <v>140</v>
      </c>
    </row>
    <row r="64" spans="2:4" x14ac:dyDescent="0.3">
      <c r="B64" s="7">
        <v>45717</v>
      </c>
      <c r="C64" s="9">
        <v>8</v>
      </c>
      <c r="D64" s="10">
        <v>250</v>
      </c>
    </row>
    <row r="65" spans="2:4" x14ac:dyDescent="0.3">
      <c r="B65" s="7">
        <v>45718</v>
      </c>
      <c r="C65" s="9">
        <v>7</v>
      </c>
      <c r="D65" s="10">
        <v>230</v>
      </c>
    </row>
    <row r="66" spans="2:4" x14ac:dyDescent="0.3">
      <c r="B66" s="7">
        <v>45719</v>
      </c>
      <c r="C66" s="9">
        <v>7</v>
      </c>
      <c r="D66" s="10">
        <v>180</v>
      </c>
    </row>
    <row r="67" spans="2:4" x14ac:dyDescent="0.3">
      <c r="B67" s="7">
        <v>45720</v>
      </c>
      <c r="C67" s="9">
        <v>6</v>
      </c>
      <c r="D67" s="10">
        <v>165</v>
      </c>
    </row>
    <row r="68" spans="2:4" x14ac:dyDescent="0.3">
      <c r="B68" s="7">
        <v>45721</v>
      </c>
      <c r="C68" s="9">
        <v>4</v>
      </c>
      <c r="D68" s="10">
        <v>105</v>
      </c>
    </row>
    <row r="69" spans="2:4" x14ac:dyDescent="0.3">
      <c r="B69" s="7">
        <v>45722</v>
      </c>
      <c r="C69" s="9">
        <v>6</v>
      </c>
      <c r="D69" s="10">
        <v>160</v>
      </c>
    </row>
    <row r="70" spans="2:4" x14ac:dyDescent="0.3">
      <c r="B70" s="7">
        <v>45723</v>
      </c>
      <c r="C70" s="9">
        <v>6</v>
      </c>
      <c r="D70" s="10">
        <v>165</v>
      </c>
    </row>
    <row r="71" spans="2:4" x14ac:dyDescent="0.3">
      <c r="B71" s="7">
        <v>45724</v>
      </c>
      <c r="C71" s="9">
        <v>7</v>
      </c>
      <c r="D71" s="10">
        <v>170</v>
      </c>
    </row>
    <row r="72" spans="2:4" x14ac:dyDescent="0.3">
      <c r="B72" s="7">
        <v>45725</v>
      </c>
      <c r="C72" s="9">
        <v>7</v>
      </c>
      <c r="D72" s="10">
        <v>245</v>
      </c>
    </row>
    <row r="73" spans="2:4" x14ac:dyDescent="0.3">
      <c r="B73" s="7">
        <v>45726</v>
      </c>
      <c r="C73" s="9">
        <v>6</v>
      </c>
      <c r="D73" s="10">
        <v>185</v>
      </c>
    </row>
    <row r="74" spans="2:4" x14ac:dyDescent="0.3">
      <c r="B74" s="7">
        <v>45727</v>
      </c>
      <c r="C74" s="9">
        <v>5</v>
      </c>
      <c r="D74" s="10">
        <v>160</v>
      </c>
    </row>
    <row r="75" spans="2:4" x14ac:dyDescent="0.3">
      <c r="B75" s="7">
        <v>45728</v>
      </c>
      <c r="C75" s="9">
        <v>4</v>
      </c>
      <c r="D75" s="10">
        <v>95</v>
      </c>
    </row>
    <row r="76" spans="2:4" x14ac:dyDescent="0.3">
      <c r="B76" s="7">
        <v>45729</v>
      </c>
      <c r="C76" s="9">
        <v>5</v>
      </c>
      <c r="D76" s="10">
        <v>160</v>
      </c>
    </row>
    <row r="77" spans="2:4" x14ac:dyDescent="0.3">
      <c r="B77" s="7">
        <v>45730</v>
      </c>
      <c r="C77" s="9">
        <v>8</v>
      </c>
      <c r="D77" s="10">
        <v>215</v>
      </c>
    </row>
    <row r="78" spans="2:4" x14ac:dyDescent="0.3">
      <c r="B78" s="7">
        <v>45731</v>
      </c>
      <c r="C78" s="9">
        <v>8</v>
      </c>
      <c r="D78" s="10">
        <v>175</v>
      </c>
    </row>
    <row r="79" spans="2:4" x14ac:dyDescent="0.3">
      <c r="B79" s="7">
        <v>45732</v>
      </c>
      <c r="C79" s="9">
        <v>7</v>
      </c>
      <c r="D79" s="10">
        <v>210</v>
      </c>
    </row>
    <row r="80" spans="2:4" x14ac:dyDescent="0.3">
      <c r="B80" s="7">
        <v>45733</v>
      </c>
      <c r="C80" s="9">
        <v>5</v>
      </c>
      <c r="D80" s="10">
        <v>120</v>
      </c>
    </row>
    <row r="81" spans="2:4" x14ac:dyDescent="0.3">
      <c r="B81" s="7">
        <v>45734</v>
      </c>
      <c r="C81" s="9">
        <v>7</v>
      </c>
      <c r="D81" s="10">
        <v>130</v>
      </c>
    </row>
    <row r="82" spans="2:4" x14ac:dyDescent="0.3">
      <c r="B82" s="7">
        <v>45735</v>
      </c>
      <c r="C82" s="9">
        <v>4</v>
      </c>
      <c r="D82" s="10">
        <v>100</v>
      </c>
    </row>
    <row r="83" spans="2:4" x14ac:dyDescent="0.3">
      <c r="B83" s="7">
        <v>45736</v>
      </c>
      <c r="C83" s="9">
        <v>5</v>
      </c>
      <c r="D83" s="10">
        <v>240</v>
      </c>
    </row>
    <row r="84" spans="2:4" x14ac:dyDescent="0.3">
      <c r="B84" s="7">
        <v>45737</v>
      </c>
      <c r="C84" s="9">
        <v>6</v>
      </c>
      <c r="D84" s="10">
        <v>120</v>
      </c>
    </row>
    <row r="85" spans="2:4" x14ac:dyDescent="0.3">
      <c r="B85" s="7">
        <v>45738</v>
      </c>
      <c r="C85" s="9">
        <v>7</v>
      </c>
      <c r="D85" s="10">
        <v>215</v>
      </c>
    </row>
    <row r="86" spans="2:4" x14ac:dyDescent="0.3">
      <c r="B86" s="7">
        <v>45739</v>
      </c>
      <c r="C86" s="9">
        <v>5</v>
      </c>
      <c r="D86" s="10">
        <v>165</v>
      </c>
    </row>
    <row r="87" spans="2:4" x14ac:dyDescent="0.3">
      <c r="B87" s="7">
        <v>45740</v>
      </c>
      <c r="C87" s="9">
        <v>6</v>
      </c>
      <c r="D87" s="10">
        <v>160</v>
      </c>
    </row>
    <row r="88" spans="2:4" x14ac:dyDescent="0.3">
      <c r="B88" s="7">
        <v>45741</v>
      </c>
      <c r="C88" s="9">
        <v>7</v>
      </c>
      <c r="D88" s="10">
        <v>240</v>
      </c>
    </row>
    <row r="89" spans="2:4" x14ac:dyDescent="0.3">
      <c r="B89" s="7">
        <v>45742</v>
      </c>
      <c r="C89" s="9">
        <v>8</v>
      </c>
      <c r="D89" s="10">
        <v>185</v>
      </c>
    </row>
    <row r="90" spans="2:4" x14ac:dyDescent="0.3">
      <c r="B90" s="7">
        <v>45743</v>
      </c>
      <c r="C90" s="9">
        <v>5</v>
      </c>
      <c r="D90" s="10">
        <v>130</v>
      </c>
    </row>
    <row r="91" spans="2:4" x14ac:dyDescent="0.3">
      <c r="B91" s="7">
        <v>45744</v>
      </c>
      <c r="C91" s="9">
        <v>7</v>
      </c>
      <c r="D91" s="10">
        <v>190</v>
      </c>
    </row>
    <row r="92" spans="2:4" x14ac:dyDescent="0.3">
      <c r="B92" s="7">
        <v>45745</v>
      </c>
      <c r="C92" s="9">
        <v>7</v>
      </c>
      <c r="D92" s="10">
        <v>205</v>
      </c>
    </row>
    <row r="93" spans="2:4" x14ac:dyDescent="0.3">
      <c r="B93" s="7">
        <v>45746</v>
      </c>
      <c r="C93" s="9">
        <v>4</v>
      </c>
      <c r="D93" s="10">
        <v>100</v>
      </c>
    </row>
    <row r="94" spans="2:4" x14ac:dyDescent="0.3">
      <c r="B94" s="7">
        <v>45747</v>
      </c>
      <c r="C94" s="9">
        <v>7</v>
      </c>
      <c r="D94" s="10">
        <v>180</v>
      </c>
    </row>
  </sheetData>
  <mergeCells count="3">
    <mergeCell ref="B2:D2"/>
    <mergeCell ref="F2:H2"/>
    <mergeCell ref="F11:I1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5A721A-90CA-4B6B-BBD1-27A17E045B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Jetfire Asus A15</dc:creator>
  <cp:lastModifiedBy>Jetfire Asus A15</cp:lastModifiedBy>
  <dcterms:created xsi:type="dcterms:W3CDTF">2026-03-02T16:20:04Z</dcterms:created>
  <dcterms:modified xsi:type="dcterms:W3CDTF">2026-03-03T17:25:26Z</dcterms:modified>
</cp:coreProperties>
</file>